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rivera/Library/CloudStorage/GoogleDrive-jose_rivera@berkeley.edu/.shortcut-targets-by-id/1zlL4JxFKeSSGmMarrJXCN3RKXAFMb-hm/FLARE/paper-Gagnon2/Paper_1 - ISFEH-11/full paper/"/>
    </mc:Choice>
  </mc:AlternateContent>
  <xr:revisionPtr revIDLastSave="0" documentId="8_{11078213-554C-E745-A310-8C0F49FB34C4}" xr6:coauthVersionLast="47" xr6:coauthVersionMax="47" xr10:uidLastSave="{00000000-0000-0000-0000-000000000000}"/>
  <bookViews>
    <workbookView xWindow="4420" yWindow="660" windowWidth="24980" windowHeight="16780" tabRatio="442" xr2:uid="{00000000-000D-0000-FFFF-FFFF00000000}"/>
  </bookViews>
  <sheets>
    <sheet name="All FLARE Tests" sheetId="1" r:id="rId1"/>
  </sheets>
  <definedNames>
    <definedName name="_xlnm._FilterDatabase" localSheetId="0" hidden="1">'All FLARE Tests'!$A$1:$AE$31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3" i="1" l="1"/>
  <c r="AE4" i="1" s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E272" i="1" s="1"/>
  <c r="AE273" i="1" s="1"/>
  <c r="AE274" i="1" s="1"/>
  <c r="AE275" i="1" s="1"/>
  <c r="AE276" i="1" s="1"/>
  <c r="AE277" i="1" s="1"/>
  <c r="AE278" i="1" s="1"/>
  <c r="AE279" i="1" s="1"/>
  <c r="AE280" i="1" s="1"/>
  <c r="AE281" i="1" s="1"/>
  <c r="AE282" i="1" s="1"/>
  <c r="AE283" i="1" s="1"/>
  <c r="AE284" i="1" s="1"/>
  <c r="AE285" i="1" s="1"/>
  <c r="AE286" i="1" s="1"/>
  <c r="AE287" i="1" s="1"/>
  <c r="AE288" i="1" s="1"/>
  <c r="AE289" i="1" s="1"/>
  <c r="AE290" i="1" s="1"/>
  <c r="AE291" i="1" s="1"/>
  <c r="AE292" i="1" s="1"/>
  <c r="AE293" i="1" s="1"/>
  <c r="AE294" i="1" s="1"/>
  <c r="AE295" i="1" s="1"/>
  <c r="AE296" i="1" s="1"/>
  <c r="AE297" i="1" s="1"/>
  <c r="AE298" i="1" s="1"/>
  <c r="AE299" i="1" s="1"/>
  <c r="AE300" i="1" s="1"/>
  <c r="AE301" i="1" s="1"/>
  <c r="AE302" i="1" s="1"/>
  <c r="AE303" i="1" s="1"/>
  <c r="AE304" i="1" s="1"/>
  <c r="AE305" i="1" s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E317" i="1" s="1"/>
  <c r="AE318" i="1" s="1"/>
  <c r="AE319" i="1" s="1"/>
  <c r="AE320" i="1" s="1"/>
  <c r="AE321" i="1" s="1"/>
  <c r="AE322" i="1" s="1"/>
  <c r="AE323" i="1" s="1"/>
  <c r="AE324" i="1" s="1"/>
  <c r="AE325" i="1" s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6" i="1" s="1"/>
  <c r="AE377" i="1" s="1"/>
  <c r="AE378" i="1" s="1"/>
  <c r="AE379" i="1" s="1"/>
  <c r="AE380" i="1" s="1"/>
  <c r="AE381" i="1" s="1"/>
  <c r="AE382" i="1" s="1"/>
  <c r="AE383" i="1" s="1"/>
  <c r="AE384" i="1" s="1"/>
  <c r="AE385" i="1" s="1"/>
  <c r="AE386" i="1" s="1"/>
  <c r="AE387" i="1" s="1"/>
  <c r="AE388" i="1" s="1"/>
  <c r="AE389" i="1" s="1"/>
  <c r="AE390" i="1" s="1"/>
  <c r="R1136" i="1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7" i="1" s="1"/>
  <c r="R688" i="1" s="1"/>
  <c r="R689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R924" i="1" s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R1003" i="1" s="1"/>
  <c r="R1005" i="1" s="1"/>
  <c r="R1006" i="1" s="1"/>
  <c r="R1007" i="1" s="1"/>
  <c r="R1008" i="1" s="1"/>
  <c r="R1009" i="1" s="1"/>
  <c r="R1010" i="1" s="1"/>
  <c r="R1011" i="1" s="1"/>
  <c r="R1012" i="1" s="1"/>
  <c r="R1013" i="1" s="1"/>
  <c r="R1014" i="1" s="1"/>
  <c r="R1015" i="1" s="1"/>
  <c r="R1016" i="1" s="1"/>
  <c r="R1017" i="1" s="1"/>
  <c r="R1018" i="1" s="1"/>
  <c r="R1019" i="1" s="1"/>
  <c r="R1020" i="1" s="1"/>
  <c r="R1021" i="1" s="1"/>
  <c r="R1022" i="1" s="1"/>
  <c r="R1023" i="1" s="1"/>
  <c r="R1024" i="1" s="1"/>
  <c r="R1025" i="1" s="1"/>
  <c r="R1026" i="1" s="1"/>
  <c r="R1027" i="1" s="1"/>
  <c r="R1028" i="1" s="1"/>
  <c r="R1029" i="1" s="1"/>
  <c r="R1030" i="1" s="1"/>
  <c r="R1031" i="1" s="1"/>
  <c r="R1032" i="1" s="1"/>
  <c r="R1033" i="1" s="1"/>
  <c r="R1034" i="1" s="1"/>
  <c r="R1035" i="1" s="1"/>
  <c r="R1036" i="1" s="1"/>
  <c r="R1037" i="1" s="1"/>
  <c r="R1038" i="1" s="1"/>
  <c r="R1039" i="1" s="1"/>
  <c r="R1040" i="1" s="1"/>
  <c r="R1041" i="1" s="1"/>
  <c r="R1042" i="1" s="1"/>
  <c r="R1043" i="1" s="1"/>
  <c r="R1044" i="1" s="1"/>
  <c r="R1045" i="1" s="1"/>
  <c r="R1046" i="1" s="1"/>
  <c r="R1047" i="1" s="1"/>
  <c r="R1048" i="1" s="1"/>
  <c r="R1049" i="1" s="1"/>
  <c r="R1050" i="1" s="1"/>
  <c r="R1051" i="1" s="1"/>
  <c r="R1052" i="1" s="1"/>
  <c r="R1053" i="1" s="1"/>
  <c r="R1054" i="1" s="1"/>
  <c r="R1055" i="1" s="1"/>
  <c r="R1056" i="1" s="1"/>
  <c r="R1057" i="1" s="1"/>
  <c r="R1058" i="1" s="1"/>
  <c r="R1059" i="1" s="1"/>
  <c r="R1060" i="1" s="1"/>
  <c r="R1061" i="1" s="1"/>
  <c r="R1062" i="1" s="1"/>
  <c r="R1063" i="1" s="1"/>
  <c r="R1064" i="1" s="1"/>
  <c r="R1065" i="1" s="1"/>
  <c r="R1066" i="1" s="1"/>
  <c r="R1067" i="1" s="1"/>
  <c r="R1068" i="1" s="1"/>
  <c r="R1069" i="1" s="1"/>
  <c r="R1070" i="1" s="1"/>
  <c r="R1071" i="1" s="1"/>
  <c r="R1072" i="1" s="1"/>
  <c r="R1073" i="1" s="1"/>
  <c r="R1074" i="1" s="1"/>
  <c r="R1075" i="1" s="1"/>
  <c r="R1076" i="1" s="1"/>
  <c r="R1077" i="1" s="1"/>
  <c r="R1078" i="1" s="1"/>
  <c r="R1079" i="1" s="1"/>
  <c r="R1080" i="1" s="1"/>
  <c r="R1081" i="1" s="1"/>
  <c r="R1082" i="1" s="1"/>
  <c r="R1083" i="1" s="1"/>
  <c r="R1084" i="1" s="1"/>
  <c r="R1085" i="1" s="1"/>
  <c r="R1087" i="1" s="1"/>
  <c r="R1088" i="1" s="1"/>
  <c r="R1089" i="1" s="1"/>
  <c r="R1090" i="1" s="1"/>
  <c r="R1091" i="1" s="1"/>
  <c r="R1092" i="1" s="1"/>
  <c r="R1093" i="1" s="1"/>
  <c r="R1094" i="1" s="1"/>
  <c r="R1095" i="1" s="1"/>
  <c r="R1096" i="1" s="1"/>
  <c r="R1097" i="1" s="1"/>
  <c r="R1098" i="1" s="1"/>
  <c r="R1099" i="1" s="1"/>
  <c r="R1100" i="1" s="1"/>
  <c r="R1101" i="1" s="1"/>
  <c r="R1102" i="1" s="1"/>
  <c r="R1103" i="1" s="1"/>
  <c r="R1104" i="1" s="1"/>
  <c r="R1105" i="1" s="1"/>
  <c r="R1107" i="1" s="1"/>
  <c r="R1108" i="1" s="1"/>
  <c r="R1109" i="1" s="1"/>
  <c r="R1110" i="1" s="1"/>
  <c r="R1111" i="1" s="1"/>
  <c r="R1112" i="1" s="1"/>
  <c r="R1113" i="1" s="1"/>
  <c r="R1114" i="1" s="1"/>
  <c r="R1115" i="1" s="1"/>
  <c r="R1116" i="1" s="1"/>
  <c r="R1117" i="1" s="1"/>
  <c r="R1118" i="1" s="1"/>
  <c r="R1119" i="1" s="1"/>
  <c r="R1120" i="1" s="1"/>
  <c r="R1121" i="1" s="1"/>
  <c r="R1122" i="1" s="1"/>
  <c r="R1123" i="1" s="1"/>
  <c r="R1124" i="1" s="1"/>
  <c r="R1125" i="1" s="1"/>
  <c r="R1126" i="1" s="1"/>
  <c r="R1127" i="1" s="1"/>
  <c r="R1128" i="1" s="1"/>
  <c r="R1129" i="1" s="1"/>
  <c r="R1130" i="1" s="1"/>
  <c r="R1131" i="1" s="1"/>
  <c r="R1132" i="1" s="1"/>
  <c r="R1133" i="1" s="1"/>
  <c r="R1134" i="1" s="1"/>
  <c r="R1135" i="1" s="1"/>
  <c r="R1137" i="1" s="1"/>
  <c r="R1138" i="1" s="1"/>
  <c r="R1139" i="1" s="1"/>
  <c r="R1141" i="1" s="1"/>
  <c r="R1142" i="1" s="1"/>
  <c r="R1143" i="1" s="1"/>
  <c r="R1144" i="1" s="1"/>
  <c r="R1145" i="1" s="1"/>
  <c r="R1146" i="1" s="1"/>
  <c r="R1147" i="1" s="1"/>
  <c r="R1148" i="1" s="1"/>
  <c r="R1149" i="1" s="1"/>
  <c r="R1150" i="1" s="1"/>
  <c r="R1151" i="1" s="1"/>
  <c r="R1152" i="1" s="1"/>
  <c r="R1153" i="1" s="1"/>
  <c r="R1154" i="1" s="1"/>
  <c r="R1155" i="1" s="1"/>
  <c r="R1156" i="1" s="1"/>
  <c r="R1157" i="1" s="1"/>
  <c r="R1158" i="1" s="1"/>
  <c r="R1159" i="1" s="1"/>
  <c r="R1160" i="1" s="1"/>
  <c r="R1161" i="1" s="1"/>
  <c r="R1162" i="1" s="1"/>
  <c r="R1163" i="1" s="1"/>
  <c r="R1164" i="1" s="1"/>
  <c r="R1165" i="1" s="1"/>
  <c r="R1166" i="1" s="1"/>
  <c r="R1168" i="1" s="1"/>
  <c r="R1169" i="1" s="1"/>
  <c r="R1170" i="1" s="1"/>
  <c r="R1171" i="1" s="1"/>
  <c r="R1172" i="1" s="1"/>
  <c r="R1173" i="1" s="1"/>
  <c r="R1174" i="1" s="1"/>
  <c r="R1175" i="1" s="1"/>
  <c r="R1176" i="1" s="1"/>
  <c r="R1177" i="1" s="1"/>
  <c r="I1167" i="1"/>
  <c r="I1168" i="1"/>
  <c r="I1169" i="1"/>
  <c r="I1170" i="1"/>
  <c r="I1171" i="1"/>
  <c r="I1172" i="1"/>
  <c r="I1173" i="1"/>
  <c r="I1174" i="1"/>
  <c r="I1175" i="1"/>
  <c r="I1176" i="1"/>
  <c r="I1177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52" i="1"/>
  <c r="I1144" i="1"/>
  <c r="I1145" i="1"/>
  <c r="I1146" i="1"/>
  <c r="I1147" i="1"/>
  <c r="I1148" i="1"/>
  <c r="I1149" i="1"/>
  <c r="I1150" i="1"/>
  <c r="I1151" i="1"/>
  <c r="I1143" i="1"/>
  <c r="I1142" i="1"/>
  <c r="I1141" i="1"/>
  <c r="I1140" i="1"/>
  <c r="I1137" i="1"/>
  <c r="I1138" i="1"/>
  <c r="I1139" i="1"/>
  <c r="I1136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06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73" i="1"/>
  <c r="I1074" i="1"/>
  <c r="I1075" i="1"/>
  <c r="I1076" i="1"/>
  <c r="I1077" i="1"/>
  <c r="I1078" i="1"/>
  <c r="I1079" i="1"/>
  <c r="I1080" i="1"/>
  <c r="I1072" i="1"/>
  <c r="I1063" i="1"/>
  <c r="I1064" i="1"/>
  <c r="I1065" i="1"/>
  <c r="I1066" i="1"/>
  <c r="I1067" i="1"/>
  <c r="I1068" i="1"/>
  <c r="I1069" i="1"/>
  <c r="I1070" i="1"/>
  <c r="I1071" i="1"/>
  <c r="I1062" i="1"/>
  <c r="I1055" i="1"/>
  <c r="I1056" i="1"/>
  <c r="I1057" i="1"/>
  <c r="I1058" i="1"/>
  <c r="I1059" i="1"/>
  <c r="I1060" i="1"/>
  <c r="I1061" i="1"/>
  <c r="I1054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40" i="1"/>
  <c r="I1030" i="1"/>
  <c r="I1031" i="1"/>
  <c r="I1032" i="1"/>
  <c r="I1033" i="1"/>
  <c r="I1034" i="1"/>
  <c r="I1035" i="1"/>
  <c r="I1036" i="1"/>
  <c r="I1037" i="1"/>
  <c r="I1038" i="1"/>
  <c r="I1039" i="1"/>
  <c r="I1029" i="1"/>
  <c r="I1022" i="1"/>
  <c r="I1023" i="1"/>
  <c r="I1024" i="1"/>
  <c r="I1025" i="1"/>
  <c r="I1026" i="1"/>
  <c r="I1027" i="1"/>
  <c r="I1028" i="1"/>
  <c r="I1021" i="1"/>
  <c r="I1013" i="1"/>
  <c r="I1014" i="1"/>
  <c r="I1015" i="1"/>
  <c r="I1016" i="1"/>
  <c r="I1017" i="1"/>
  <c r="I1018" i="1"/>
  <c r="I1019" i="1"/>
  <c r="I1020" i="1"/>
  <c r="I1012" i="1"/>
  <c r="I1005" i="1"/>
  <c r="I1006" i="1"/>
  <c r="I1007" i="1"/>
  <c r="I1008" i="1"/>
  <c r="I1009" i="1"/>
  <c r="I1010" i="1"/>
  <c r="I1011" i="1"/>
  <c r="I1004" i="1"/>
  <c r="I997" i="1"/>
  <c r="I998" i="1"/>
  <c r="I999" i="1"/>
  <c r="I1000" i="1"/>
  <c r="I1001" i="1"/>
  <c r="I1002" i="1"/>
  <c r="I1003" i="1"/>
  <c r="I996" i="1"/>
  <c r="I989" i="1"/>
  <c r="I990" i="1"/>
  <c r="I991" i="1"/>
  <c r="I992" i="1"/>
  <c r="I993" i="1"/>
  <c r="I994" i="1"/>
  <c r="I995" i="1"/>
  <c r="I988" i="1"/>
  <c r="I977" i="1"/>
  <c r="I978" i="1"/>
  <c r="I979" i="1"/>
  <c r="I980" i="1"/>
  <c r="I981" i="1"/>
  <c r="I982" i="1"/>
  <c r="I983" i="1"/>
  <c r="I984" i="1"/>
  <c r="I985" i="1"/>
  <c r="I986" i="1"/>
  <c r="I987" i="1"/>
  <c r="I976" i="1"/>
  <c r="I969" i="1"/>
  <c r="I970" i="1"/>
  <c r="I971" i="1"/>
  <c r="I972" i="1"/>
  <c r="I973" i="1"/>
  <c r="I974" i="1"/>
  <c r="I975" i="1"/>
  <c r="I968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20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0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873" i="1"/>
  <c r="I869" i="1"/>
  <c r="I870" i="1"/>
  <c r="I871" i="1"/>
  <c r="I872" i="1"/>
  <c r="I868" i="1"/>
  <c r="I864" i="1"/>
  <c r="I865" i="1"/>
  <c r="I866" i="1"/>
  <c r="I867" i="1"/>
  <c r="I863" i="1"/>
  <c r="V864" i="1"/>
  <c r="V865" i="1"/>
  <c r="V866" i="1"/>
  <c r="V867" i="1"/>
  <c r="V868" i="1"/>
  <c r="V869" i="1"/>
  <c r="V870" i="1"/>
  <c r="V871" i="1"/>
  <c r="V872" i="1"/>
  <c r="V863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3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18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790" i="1"/>
  <c r="I791" i="1"/>
  <c r="I792" i="1"/>
  <c r="I793" i="1"/>
  <c r="I794" i="1"/>
  <c r="I795" i="1"/>
  <c r="I796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525" i="1"/>
  <c r="I526" i="1"/>
  <c r="I527" i="1"/>
  <c r="I528" i="1"/>
  <c r="I529" i="1"/>
  <c r="I530" i="1"/>
  <c r="I531" i="1"/>
  <c r="I532" i="1"/>
  <c r="I516" i="1"/>
  <c r="I517" i="1"/>
  <c r="I518" i="1"/>
  <c r="I519" i="1"/>
  <c r="I520" i="1"/>
  <c r="I521" i="1"/>
  <c r="I522" i="1"/>
  <c r="I523" i="1"/>
  <c r="I524" i="1"/>
  <c r="I508" i="1"/>
  <c r="I509" i="1"/>
  <c r="I510" i="1"/>
  <c r="I511" i="1"/>
  <c r="I512" i="1"/>
  <c r="I513" i="1"/>
  <c r="I514" i="1"/>
  <c r="I515" i="1"/>
  <c r="I498" i="1"/>
  <c r="I499" i="1"/>
  <c r="I500" i="1"/>
  <c r="I501" i="1"/>
  <c r="I502" i="1"/>
  <c r="I503" i="1"/>
  <c r="I504" i="1"/>
  <c r="I505" i="1"/>
  <c r="I506" i="1"/>
  <c r="I507" i="1"/>
  <c r="I539" i="1"/>
  <c r="I540" i="1"/>
  <c r="I541" i="1"/>
  <c r="I542" i="1"/>
  <c r="I543" i="1"/>
  <c r="I544" i="1"/>
  <c r="I533" i="1"/>
  <c r="I534" i="1"/>
  <c r="I535" i="1"/>
  <c r="I536" i="1"/>
  <c r="I537" i="1"/>
  <c r="I538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V687" i="1"/>
  <c r="V688" i="1"/>
  <c r="V689" i="1"/>
  <c r="V686" i="1"/>
  <c r="I391" i="1"/>
  <c r="L389" i="1" l="1"/>
  <c r="AC389" i="1" s="1"/>
  <c r="L390" i="1"/>
  <c r="AC390" i="1" s="1"/>
  <c r="L380" i="1" l="1"/>
  <c r="AC380" i="1" s="1"/>
  <c r="L381" i="1"/>
  <c r="AC381" i="1" s="1"/>
  <c r="L382" i="1"/>
  <c r="AC382" i="1" s="1"/>
  <c r="L383" i="1"/>
  <c r="AC383" i="1" s="1"/>
  <c r="L384" i="1"/>
  <c r="AC384" i="1" s="1"/>
  <c r="L385" i="1"/>
  <c r="AC385" i="1" s="1"/>
  <c r="L386" i="1"/>
  <c r="AC386" i="1" s="1"/>
  <c r="L387" i="1"/>
  <c r="AC387" i="1" s="1"/>
  <c r="L388" i="1"/>
  <c r="AC388" i="1" s="1"/>
  <c r="L369" i="1" l="1"/>
  <c r="AC369" i="1" s="1"/>
  <c r="L370" i="1"/>
  <c r="AC370" i="1" s="1"/>
  <c r="L371" i="1"/>
  <c r="AC371" i="1" s="1"/>
  <c r="L372" i="1"/>
  <c r="AC372" i="1" s="1"/>
  <c r="L373" i="1"/>
  <c r="AC373" i="1" s="1"/>
  <c r="L374" i="1"/>
  <c r="AC374" i="1" s="1"/>
  <c r="L375" i="1"/>
  <c r="AC375" i="1" s="1"/>
  <c r="L376" i="1"/>
  <c r="AC376" i="1" s="1"/>
  <c r="L377" i="1"/>
  <c r="AC377" i="1" s="1"/>
  <c r="L378" i="1"/>
  <c r="AC378" i="1" s="1"/>
  <c r="L379" i="1"/>
  <c r="AC379" i="1" s="1"/>
  <c r="L354" i="1" l="1"/>
  <c r="AC354" i="1" s="1"/>
  <c r="L355" i="1"/>
  <c r="AC355" i="1" s="1"/>
  <c r="L356" i="1"/>
  <c r="AC356" i="1" s="1"/>
  <c r="L357" i="1"/>
  <c r="AC357" i="1" s="1"/>
  <c r="L358" i="1"/>
  <c r="AC358" i="1" s="1"/>
  <c r="L359" i="1"/>
  <c r="AC359" i="1" s="1"/>
  <c r="L360" i="1"/>
  <c r="AC360" i="1" s="1"/>
  <c r="L361" i="1"/>
  <c r="AC361" i="1" s="1"/>
  <c r="L362" i="1"/>
  <c r="AC362" i="1" s="1"/>
  <c r="L363" i="1"/>
  <c r="AC363" i="1" s="1"/>
  <c r="L364" i="1"/>
  <c r="AC364" i="1" s="1"/>
  <c r="L365" i="1"/>
  <c r="AC365" i="1" s="1"/>
  <c r="L366" i="1"/>
  <c r="AC366" i="1" s="1"/>
  <c r="L367" i="1"/>
  <c r="AC367" i="1" s="1"/>
  <c r="L368" i="1"/>
  <c r="AC368" i="1" s="1"/>
  <c r="L340" i="1" l="1"/>
  <c r="AC340" i="1" s="1"/>
  <c r="L341" i="1"/>
  <c r="AC341" i="1" s="1"/>
  <c r="L342" i="1"/>
  <c r="AC342" i="1" s="1"/>
  <c r="L343" i="1"/>
  <c r="AC343" i="1" s="1"/>
  <c r="L344" i="1"/>
  <c r="AC344" i="1" s="1"/>
  <c r="L345" i="1"/>
  <c r="AC345" i="1" s="1"/>
  <c r="L346" i="1"/>
  <c r="AC346" i="1" s="1"/>
  <c r="L347" i="1"/>
  <c r="AC347" i="1" s="1"/>
  <c r="L348" i="1"/>
  <c r="AC348" i="1" s="1"/>
  <c r="L349" i="1"/>
  <c r="AC349" i="1" s="1"/>
  <c r="L350" i="1"/>
  <c r="AC350" i="1" s="1"/>
  <c r="L351" i="1"/>
  <c r="AC351" i="1" s="1"/>
  <c r="L352" i="1"/>
  <c r="AC352" i="1" s="1"/>
  <c r="L353" i="1"/>
  <c r="AC353" i="1" s="1"/>
  <c r="L319" i="1" l="1"/>
  <c r="AC319" i="1" s="1"/>
  <c r="L320" i="1"/>
  <c r="AC320" i="1" s="1"/>
  <c r="L321" i="1"/>
  <c r="AC321" i="1" s="1"/>
  <c r="L322" i="1"/>
  <c r="AC322" i="1" s="1"/>
  <c r="L323" i="1"/>
  <c r="AC323" i="1" s="1"/>
  <c r="L324" i="1"/>
  <c r="AC324" i="1" s="1"/>
  <c r="L325" i="1"/>
  <c r="AC325" i="1" s="1"/>
  <c r="L326" i="1"/>
  <c r="AC326" i="1" s="1"/>
  <c r="L327" i="1"/>
  <c r="AC327" i="1" s="1"/>
  <c r="L328" i="1"/>
  <c r="AC328" i="1" s="1"/>
  <c r="L329" i="1"/>
  <c r="AC329" i="1" s="1"/>
  <c r="L330" i="1"/>
  <c r="AC330" i="1" s="1"/>
  <c r="L331" i="1"/>
  <c r="AC331" i="1" s="1"/>
  <c r="L332" i="1"/>
  <c r="AC332" i="1" s="1"/>
  <c r="L333" i="1"/>
  <c r="AC333" i="1" s="1"/>
  <c r="L334" i="1"/>
  <c r="AC334" i="1" s="1"/>
  <c r="L335" i="1"/>
  <c r="AC335" i="1" s="1"/>
  <c r="L336" i="1"/>
  <c r="AC336" i="1" s="1"/>
  <c r="L337" i="1"/>
  <c r="AC337" i="1" s="1"/>
  <c r="L338" i="1"/>
  <c r="AC338" i="1" s="1"/>
  <c r="L339" i="1"/>
  <c r="AC339" i="1" s="1"/>
  <c r="L318" i="1" l="1"/>
  <c r="AC318" i="1" s="1"/>
  <c r="L314" i="1" l="1"/>
  <c r="AC314" i="1" s="1"/>
  <c r="L315" i="1"/>
  <c r="AC315" i="1" s="1"/>
  <c r="L316" i="1"/>
  <c r="AC316" i="1" s="1"/>
  <c r="L317" i="1"/>
  <c r="AC317" i="1" s="1"/>
  <c r="L313" i="1" l="1"/>
  <c r="AC313" i="1" s="1"/>
  <c r="L312" i="1"/>
  <c r="AC312" i="1" s="1"/>
  <c r="L289" i="1" l="1"/>
  <c r="AC289" i="1" s="1"/>
  <c r="L290" i="1"/>
  <c r="AC290" i="1" s="1"/>
  <c r="L291" i="1"/>
  <c r="AC291" i="1" s="1"/>
  <c r="L292" i="1"/>
  <c r="AC292" i="1" s="1"/>
  <c r="L293" i="1"/>
  <c r="AC293" i="1" s="1"/>
  <c r="L294" i="1"/>
  <c r="AC294" i="1" s="1"/>
  <c r="L295" i="1"/>
  <c r="AC295" i="1" s="1"/>
  <c r="L296" i="1"/>
  <c r="AC296" i="1" s="1"/>
  <c r="L297" i="1"/>
  <c r="AC297" i="1" s="1"/>
  <c r="L298" i="1"/>
  <c r="AC298" i="1" s="1"/>
  <c r="L299" i="1"/>
  <c r="AC299" i="1" s="1"/>
  <c r="L300" i="1"/>
  <c r="AC300" i="1" s="1"/>
  <c r="L301" i="1"/>
  <c r="AC301" i="1" s="1"/>
  <c r="L302" i="1"/>
  <c r="AC302" i="1" s="1"/>
  <c r="L303" i="1"/>
  <c r="AC303" i="1" s="1"/>
  <c r="L304" i="1"/>
  <c r="AC304" i="1" s="1"/>
  <c r="L305" i="1"/>
  <c r="AC305" i="1" s="1"/>
  <c r="L306" i="1"/>
  <c r="AC306" i="1" s="1"/>
  <c r="L307" i="1"/>
  <c r="AC307" i="1" s="1"/>
  <c r="L308" i="1"/>
  <c r="AC308" i="1" s="1"/>
  <c r="L309" i="1"/>
  <c r="AC309" i="1" s="1"/>
  <c r="L310" i="1"/>
  <c r="AC310" i="1" s="1"/>
  <c r="L311" i="1"/>
  <c r="AC311" i="1" s="1"/>
  <c r="L288" i="1" l="1"/>
  <c r="AC288" i="1" s="1"/>
  <c r="L287" i="1"/>
  <c r="AC287" i="1" s="1"/>
  <c r="L286" i="1"/>
  <c r="AC286" i="1" s="1"/>
  <c r="L285" i="1"/>
  <c r="AC285" i="1" s="1"/>
  <c r="L284" i="1"/>
  <c r="AC284" i="1" s="1"/>
  <c r="L283" i="1"/>
  <c r="AC283" i="1" s="1"/>
  <c r="L282" i="1"/>
  <c r="AC282" i="1" s="1"/>
  <c r="L281" i="1"/>
  <c r="AC281" i="1" s="1"/>
  <c r="L280" i="1"/>
  <c r="AC280" i="1" s="1"/>
  <c r="L279" i="1" l="1"/>
  <c r="AC279" i="1" s="1"/>
  <c r="L278" i="1"/>
  <c r="AC278" i="1" s="1"/>
  <c r="L277" i="1"/>
  <c r="AC277" i="1" s="1"/>
  <c r="L276" i="1"/>
  <c r="AC276" i="1" s="1"/>
  <c r="L275" i="1"/>
  <c r="AC275" i="1" s="1"/>
  <c r="L274" i="1"/>
  <c r="AC274" i="1" s="1"/>
  <c r="L273" i="1"/>
  <c r="AC273" i="1" s="1"/>
  <c r="L272" i="1"/>
  <c r="AC272" i="1" s="1"/>
  <c r="L271" i="1"/>
  <c r="AC271" i="1" s="1"/>
  <c r="L270" i="1" l="1"/>
  <c r="AC270" i="1" s="1"/>
  <c r="L269" i="1"/>
  <c r="AC269" i="1" s="1"/>
  <c r="L268" i="1"/>
  <c r="AC268" i="1" s="1"/>
  <c r="L267" i="1" l="1"/>
  <c r="AC267" i="1" s="1"/>
  <c r="L266" i="1"/>
  <c r="AC266" i="1" s="1"/>
  <c r="L265" i="1"/>
  <c r="AC265" i="1" s="1"/>
  <c r="L264" i="1"/>
  <c r="AC264" i="1" s="1"/>
  <c r="L263" i="1"/>
  <c r="AC263" i="1" s="1"/>
  <c r="L262" i="1"/>
  <c r="AC262" i="1" s="1"/>
  <c r="L261" i="1" l="1"/>
  <c r="AC261" i="1" s="1"/>
  <c r="L260" i="1"/>
  <c r="AC260" i="1" s="1"/>
  <c r="L259" i="1"/>
  <c r="AC259" i="1" s="1"/>
  <c r="L258" i="1"/>
  <c r="AC258" i="1" s="1"/>
  <c r="L257" i="1"/>
  <c r="AC257" i="1" s="1"/>
  <c r="L256" i="1"/>
  <c r="AC256" i="1" s="1"/>
  <c r="L255" i="1"/>
  <c r="AC255" i="1" s="1"/>
  <c r="L254" i="1"/>
  <c r="AC254" i="1" s="1"/>
  <c r="L253" i="1"/>
  <c r="AC253" i="1" s="1"/>
  <c r="L252" i="1"/>
  <c r="AC252" i="1" s="1"/>
  <c r="L251" i="1"/>
  <c r="AC251" i="1" s="1"/>
  <c r="L250" i="1"/>
  <c r="AC250" i="1" s="1"/>
  <c r="L249" i="1"/>
  <c r="AC249" i="1" s="1"/>
  <c r="L248" i="1"/>
  <c r="AC248" i="1" s="1"/>
  <c r="L247" i="1"/>
  <c r="AC247" i="1" s="1"/>
  <c r="L246" i="1"/>
  <c r="AC246" i="1" s="1"/>
  <c r="L245" i="1"/>
  <c r="AC245" i="1" s="1"/>
  <c r="L244" i="1"/>
  <c r="AC244" i="1" s="1"/>
  <c r="L243" i="1"/>
  <c r="AC243" i="1" s="1"/>
  <c r="L242" i="1"/>
  <c r="AC242" i="1" s="1"/>
  <c r="L241" i="1"/>
  <c r="AC241" i="1" s="1"/>
  <c r="L240" i="1"/>
  <c r="AC240" i="1" s="1"/>
  <c r="L239" i="1"/>
  <c r="AC239" i="1" s="1"/>
  <c r="L238" i="1"/>
  <c r="AC238" i="1" s="1"/>
  <c r="L237" i="1"/>
  <c r="AC237" i="1" s="1"/>
  <c r="L236" i="1"/>
  <c r="AC236" i="1" s="1"/>
  <c r="L235" i="1"/>
  <c r="AC235" i="1" s="1"/>
  <c r="L234" i="1"/>
  <c r="AC234" i="1" s="1"/>
  <c r="L233" i="1" l="1"/>
  <c r="AC233" i="1" s="1"/>
  <c r="L232" i="1"/>
  <c r="AC232" i="1" s="1"/>
  <c r="L231" i="1"/>
  <c r="AC231" i="1" s="1"/>
  <c r="L230" i="1"/>
  <c r="AC230" i="1" s="1"/>
  <c r="L229" i="1"/>
  <c r="AC229" i="1" s="1"/>
  <c r="L228" i="1"/>
  <c r="AC228" i="1" s="1"/>
  <c r="L227" i="1"/>
  <c r="AC227" i="1" s="1"/>
  <c r="L226" i="1"/>
  <c r="AC226" i="1" s="1"/>
  <c r="L225" i="1"/>
  <c r="AC225" i="1" s="1"/>
  <c r="L224" i="1" l="1"/>
  <c r="AC224" i="1" s="1"/>
  <c r="L223" i="1"/>
  <c r="AC223" i="1" s="1"/>
  <c r="L222" i="1"/>
  <c r="AC222" i="1" s="1"/>
  <c r="L221" i="1"/>
  <c r="AC221" i="1" s="1"/>
  <c r="L220" i="1"/>
  <c r="AC220" i="1" s="1"/>
  <c r="L219" i="1"/>
  <c r="AC219" i="1" s="1"/>
  <c r="L218" i="1" l="1"/>
  <c r="AC218" i="1" s="1"/>
  <c r="L217" i="1"/>
  <c r="AC217" i="1" s="1"/>
  <c r="L216" i="1"/>
  <c r="AC216" i="1" s="1"/>
  <c r="L215" i="1"/>
  <c r="AC215" i="1" s="1"/>
  <c r="L214" i="1"/>
  <c r="AC214" i="1" s="1"/>
  <c r="L213" i="1"/>
  <c r="AC213" i="1" s="1"/>
  <c r="L212" i="1"/>
  <c r="AC212" i="1" s="1"/>
  <c r="L211" i="1"/>
  <c r="AC211" i="1" s="1"/>
  <c r="L210" i="1"/>
  <c r="AC210" i="1" s="1"/>
  <c r="L209" i="1" l="1"/>
  <c r="AC209" i="1" s="1"/>
  <c r="L208" i="1"/>
  <c r="AC208" i="1" s="1"/>
  <c r="L207" i="1"/>
  <c r="AC207" i="1" s="1"/>
  <c r="L206" i="1"/>
  <c r="AC206" i="1" s="1"/>
  <c r="L205" i="1"/>
  <c r="AC205" i="1" s="1"/>
  <c r="L204" i="1"/>
  <c r="AC204" i="1" s="1"/>
  <c r="L203" i="1"/>
  <c r="AC203" i="1" s="1"/>
  <c r="L202" i="1"/>
  <c r="AC202" i="1" s="1"/>
  <c r="L201" i="1"/>
  <c r="AC201" i="1" s="1"/>
  <c r="L200" i="1"/>
  <c r="AC200" i="1" s="1"/>
  <c r="L199" i="1"/>
  <c r="AC199" i="1" s="1"/>
  <c r="L198" i="1" l="1"/>
  <c r="AC198" i="1" s="1"/>
  <c r="L197" i="1"/>
  <c r="AC197" i="1" s="1"/>
  <c r="L196" i="1"/>
  <c r="AC196" i="1" s="1"/>
  <c r="L195" i="1"/>
  <c r="AC195" i="1" s="1"/>
  <c r="L194" i="1"/>
  <c r="AC194" i="1" s="1"/>
  <c r="L193" i="1"/>
  <c r="AC193" i="1" s="1"/>
  <c r="L192" i="1"/>
  <c r="AC192" i="1" s="1"/>
  <c r="L191" i="1"/>
  <c r="AC191" i="1" s="1"/>
  <c r="L190" i="1"/>
  <c r="AC190" i="1" s="1"/>
  <c r="L189" i="1"/>
  <c r="AC189" i="1" s="1"/>
  <c r="L188" i="1"/>
  <c r="AC188" i="1" s="1"/>
  <c r="L187" i="1" l="1"/>
  <c r="AC187" i="1" s="1"/>
  <c r="L186" i="1"/>
  <c r="AC186" i="1" s="1"/>
  <c r="L185" i="1"/>
  <c r="AC185" i="1" s="1"/>
  <c r="L184" i="1"/>
  <c r="AC184" i="1" s="1"/>
  <c r="L183" i="1"/>
  <c r="AC183" i="1" s="1"/>
  <c r="L182" i="1"/>
  <c r="AC182" i="1" s="1"/>
  <c r="L181" i="1"/>
  <c r="AC181" i="1" s="1"/>
  <c r="L180" i="1"/>
  <c r="AC180" i="1" s="1"/>
  <c r="L179" i="1"/>
  <c r="AC179" i="1" s="1"/>
  <c r="L178" i="1"/>
  <c r="AC178" i="1" s="1"/>
  <c r="L177" i="1"/>
  <c r="AC177" i="1" s="1"/>
  <c r="L176" i="1" l="1"/>
  <c r="AC176" i="1" s="1"/>
  <c r="L175" i="1"/>
  <c r="AC175" i="1" s="1"/>
  <c r="L174" i="1"/>
  <c r="AC174" i="1" s="1"/>
  <c r="L173" i="1"/>
  <c r="AC173" i="1" s="1"/>
  <c r="L172" i="1"/>
  <c r="AC172" i="1" s="1"/>
  <c r="L171" i="1"/>
  <c r="AC171" i="1" s="1"/>
  <c r="L170" i="1"/>
  <c r="AC170" i="1" s="1"/>
  <c r="L169" i="1"/>
  <c r="AC169" i="1" s="1"/>
  <c r="L168" i="1"/>
  <c r="AC168" i="1" s="1"/>
  <c r="L167" i="1"/>
  <c r="AC167" i="1" s="1"/>
  <c r="L166" i="1"/>
  <c r="AC166" i="1" s="1"/>
  <c r="L165" i="1"/>
  <c r="AC165" i="1" s="1"/>
  <c r="L164" i="1"/>
  <c r="AC164" i="1" s="1"/>
  <c r="L163" i="1"/>
  <c r="AC163" i="1" s="1"/>
  <c r="L162" i="1"/>
  <c r="AC162" i="1" s="1"/>
  <c r="L161" i="1"/>
  <c r="AC161" i="1" s="1"/>
  <c r="L160" i="1"/>
  <c r="AC160" i="1" s="1"/>
  <c r="L159" i="1" l="1"/>
  <c r="AC159" i="1" s="1"/>
  <c r="L158" i="1"/>
  <c r="AC158" i="1" s="1"/>
  <c r="L157" i="1"/>
  <c r="AC157" i="1" s="1"/>
  <c r="L156" i="1"/>
  <c r="AC156" i="1" s="1"/>
  <c r="L155" i="1"/>
  <c r="AC155" i="1" s="1"/>
  <c r="L154" i="1"/>
  <c r="AC154" i="1" s="1"/>
  <c r="L153" i="1"/>
  <c r="AC153" i="1" s="1"/>
  <c r="L152" i="1"/>
  <c r="AC152" i="1" s="1"/>
  <c r="L151" i="1"/>
  <c r="AC151" i="1" s="1"/>
  <c r="L150" i="1"/>
  <c r="AC150" i="1" s="1"/>
  <c r="L149" i="1"/>
  <c r="AC149" i="1" s="1"/>
  <c r="L148" i="1"/>
  <c r="AC148" i="1" s="1"/>
  <c r="L147" i="1"/>
  <c r="AC147" i="1" s="1"/>
  <c r="L146" i="1"/>
  <c r="AC146" i="1" s="1"/>
  <c r="L129" i="1" l="1"/>
  <c r="L145" i="1" l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8" i="1" l="1"/>
  <c r="L127" i="1"/>
  <c r="L126" i="1"/>
  <c r="L125" i="1"/>
  <c r="L124" i="1"/>
  <c r="AC124" i="1" l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L109" i="1" l="1"/>
  <c r="AC109" i="1" s="1"/>
  <c r="L110" i="1"/>
  <c r="AC110" i="1" s="1"/>
  <c r="L111" i="1"/>
  <c r="AC111" i="1" s="1"/>
  <c r="L112" i="1"/>
  <c r="AC112" i="1" s="1"/>
  <c r="L113" i="1"/>
  <c r="AC113" i="1" s="1"/>
  <c r="L114" i="1"/>
  <c r="AC114" i="1" s="1"/>
  <c r="L115" i="1"/>
  <c r="AC115" i="1" s="1"/>
  <c r="L116" i="1"/>
  <c r="AC116" i="1" s="1"/>
  <c r="L117" i="1"/>
  <c r="AC117" i="1" s="1"/>
  <c r="L118" i="1"/>
  <c r="AC118" i="1" s="1"/>
  <c r="L119" i="1"/>
  <c r="AC119" i="1" s="1"/>
  <c r="L120" i="1"/>
  <c r="AC120" i="1" s="1"/>
  <c r="L121" i="1"/>
  <c r="AC121" i="1" s="1"/>
  <c r="L122" i="1"/>
  <c r="AC122" i="1" s="1"/>
  <c r="L123" i="1"/>
  <c r="AC123" i="1" s="1"/>
  <c r="K97" i="1" l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96" i="1"/>
  <c r="L96" i="1" s="1"/>
  <c r="K95" i="1" l="1"/>
  <c r="L95" i="1" s="1"/>
  <c r="K94" i="1"/>
  <c r="L94" i="1" s="1"/>
  <c r="K93" i="1"/>
  <c r="L93" i="1" s="1"/>
  <c r="K92" i="1"/>
  <c r="L92" i="1" s="1"/>
  <c r="K91" i="1"/>
  <c r="L91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84" i="1"/>
  <c r="L84" i="1" s="1"/>
  <c r="L52" i="1" l="1"/>
  <c r="L51" i="1" l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23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</calcChain>
</file>

<file path=xl/sharedStrings.xml><?xml version="1.0" encoding="utf-8"?>
<sst xmlns="http://schemas.openxmlformats.org/spreadsheetml/2006/main" count="5317" uniqueCount="142">
  <si>
    <t>Date</t>
  </si>
  <si>
    <t>opposed</t>
  </si>
  <si>
    <t>concurrent</t>
  </si>
  <si>
    <t>Notes</t>
  </si>
  <si>
    <t>Copper</t>
  </si>
  <si>
    <t>Steel tube</t>
  </si>
  <si>
    <t>drip scale wasn't tared, flow was a little high during ignition, reused tube core</t>
  </si>
  <si>
    <t>reused tube-core</t>
  </si>
  <si>
    <t>reused tube-core, flow might be off</t>
  </si>
  <si>
    <t>NiCr</t>
  </si>
  <si>
    <t>Cu Yong</t>
  </si>
  <si>
    <t>wire touched coil</t>
  </si>
  <si>
    <t>Ignitor accidentally left on for 1:40</t>
  </si>
  <si>
    <t>Ignitor accidentally left on for 1:00</t>
  </si>
  <si>
    <t>Ignitor in opposed flow configuration</t>
  </si>
  <si>
    <t>Ignitor broke</t>
  </si>
  <si>
    <t>flow speed may have been 57 on gauge</t>
  </si>
  <si>
    <t>Ignitor on for 15 seconds (for rest of all 0.5 mm)</t>
  </si>
  <si>
    <t>last coil of ignitor didn't glow</t>
  </si>
  <si>
    <t>Bent up - weird</t>
  </si>
  <si>
    <t>PMMA</t>
  </si>
  <si>
    <t>First minute or so is 0.1 cm/s; rest of video is at 80.8 on air guage with "3" unscrewed</t>
  </si>
  <si>
    <t>All PMMA 0.25" rods have ignitor time of approx 9 s (variac at 15); masses are averages across ~10 samples</t>
  </si>
  <si>
    <t>Approximate lengths of all PMMA samples is 12.9 cm with ~11.6 cm exposed out of the sample holder</t>
  </si>
  <si>
    <t>When clicking, tail was measured at end of sample, not furtherest back flame tip</t>
  </si>
  <si>
    <t>LDPE</t>
  </si>
  <si>
    <t>A</t>
  </si>
  <si>
    <t>B</t>
  </si>
  <si>
    <t>C</t>
  </si>
  <si>
    <t>D</t>
  </si>
  <si>
    <t>Ignitor on for 12 seconds (for all 0.5 mm); Sample holder B had length scale of 197 mm</t>
  </si>
  <si>
    <t>Test #</t>
  </si>
  <si>
    <t>NiCr TC-K</t>
  </si>
  <si>
    <t>no flow</t>
  </si>
  <si>
    <t>wt</t>
  </si>
  <si>
    <t>ch</t>
  </si>
  <si>
    <t>Exp. Loc.</t>
  </si>
  <si>
    <t>Turned off ignitor at first ignition</t>
  </si>
  <si>
    <t>Turned off ignitor after 24 s (with Variac at 10, 24 s is less time than flame appearing, with Variac at 15, 24 s more time than flame appearing)</t>
  </si>
  <si>
    <t>Turned off ignitor after 24 s</t>
  </si>
  <si>
    <t>Turned off ignitor after flame tail left last ignitor coil</t>
  </si>
  <si>
    <t>Left ignitor on entire test</t>
  </si>
  <si>
    <t>Ignitor broke; flame went uphill</t>
  </si>
  <si>
    <t>Sample holder C had length scale of is 116 mm</t>
  </si>
  <si>
    <t>New, slim sample holder from this point on; Sample holder D had length scale of 130 mm for PMMA samples</t>
  </si>
  <si>
    <t>Turned off ignitor at first ignition; ignitor time is above average (first tests and environment is colder?)</t>
  </si>
  <si>
    <t>Turned off ignitor at first ignition; video started right before flame spread</t>
  </si>
  <si>
    <t>Turned off ignitor at first ignition (I)</t>
  </si>
  <si>
    <t>Turned off ignitor after flame tail left last ignitor coil (II)</t>
  </si>
  <si>
    <t>Left ignitor on entire test (III)</t>
  </si>
  <si>
    <t>DSC_3431 has pixel scale shot for DSC_3432</t>
  </si>
  <si>
    <t>watch video for ignitor "on" length</t>
  </si>
  <si>
    <t>No mass dripped data</t>
  </si>
  <si>
    <t>bad mass dripped data</t>
  </si>
  <si>
    <t>opposed</t>
    <phoneticPr fontId="2" type="noConversion"/>
  </si>
  <si>
    <t>Video analyzed but subsequently lost</t>
  </si>
  <si>
    <t>Good example of dripping switching from back to front</t>
  </si>
  <si>
    <t>Full spread</t>
  </si>
  <si>
    <t>Full Spread</t>
  </si>
  <si>
    <t>Partial spread, but reached steady state</t>
  </si>
  <si>
    <t>Turned on igniter too soon, turned off and turned on again when pressure was at 40 kPa; don't think this affected spread</t>
  </si>
  <si>
    <t>Flame Spread Rate [mm/s]</t>
  </si>
  <si>
    <t>Chamber duct; igniter on length assumed to be 24 s</t>
  </si>
  <si>
    <t>Fe</t>
  </si>
  <si>
    <t>Nakamura2009 - Figure 4; insulation only described as PE, so assuming LDPE</t>
  </si>
  <si>
    <t>Zhao2017 - Figure 6; insulation only described as PE, so assuming LDPE</t>
  </si>
  <si>
    <t>Hu2019 - Figure 7; insulation only described as PE, so assuming LDPE</t>
  </si>
  <si>
    <t>Nakamura2008[1] - Figure 6; insulation only described as PE, so assuming LDPE</t>
  </si>
  <si>
    <t>Nakamura2008[2] - Figure 5; insulation only described as PE, so assuming LDPE</t>
  </si>
  <si>
    <t>Fang2020 - Figure 6a</t>
  </si>
  <si>
    <t>Fang2020 - Figure 6b</t>
  </si>
  <si>
    <t>ETFE</t>
  </si>
  <si>
    <t>Fujita2002 - Figure 3</t>
  </si>
  <si>
    <t>Fujita2002 - Figure 4</t>
  </si>
  <si>
    <t>Hu2015 - Figure3a</t>
  </si>
  <si>
    <t>Hu2015 - Figure3b</t>
  </si>
  <si>
    <t>Kikuchi1998 - Figure 3</t>
  </si>
  <si>
    <t>Kobayashi2018 - Figure 8a; estimated ID of SS Tube</t>
  </si>
  <si>
    <t>Kobayashi2018 - Figure 8b; estimated ID of SS Tube</t>
  </si>
  <si>
    <t>Kobayashi2018 - Figure 11a; estimated ID of SS Tube</t>
  </si>
  <si>
    <t>Kobayashi2018 - Figure 13; estimated ID of SS Tube</t>
  </si>
  <si>
    <t>HDPE</t>
  </si>
  <si>
    <t>Kobayashi2020 - Figure 5</t>
  </si>
  <si>
    <t>Konno2020[1] - Figure 9</t>
  </si>
  <si>
    <t>Konno2020[2] - Figure 4</t>
  </si>
  <si>
    <t>Lim2017 - Figure 4; assuming LDPE</t>
  </si>
  <si>
    <t>Lu2018 - Figure3b; assuming LDPE; alpha = 90</t>
  </si>
  <si>
    <t>Lu2018 - Figure3b; assuming LDPE; alpha = 75</t>
  </si>
  <si>
    <t>Lu2018 - Figure3b; assuming LDPE; alpha = 60</t>
  </si>
  <si>
    <t>Lu2018 - Figure3b; assuming LDPE; alpha = 45</t>
  </si>
  <si>
    <t>Lu2018 - Figure3b; assuming LDPE; alpha = 30</t>
  </si>
  <si>
    <t>Lu2018 - Figure3b; assuming LDPE; alpha = 15</t>
  </si>
  <si>
    <t>Lu2018 - Figure3b; assuming LDPE; alpha = 0</t>
  </si>
  <si>
    <t>Ma2020 - Figure 3a; assuming LDPE</t>
  </si>
  <si>
    <t>Ma2020 - Figure 3b; assuming LDPE</t>
  </si>
  <si>
    <t>Miyamoto2016 - Figure 3a</t>
  </si>
  <si>
    <t>Miyamoto2016 - Figure 3b</t>
  </si>
  <si>
    <t>Miyamoto2016 - Figure 4a</t>
  </si>
  <si>
    <t>Miyamoto2016 - Figure 4b</t>
  </si>
  <si>
    <t>Nagachi2019 - Figure 8; assuming 10^-2 g; assuming LDPE; insulation thickness cited at 0.3 - actually 0.15?</t>
  </si>
  <si>
    <t>Nagachi2019 - Figure 9; assuming 10^-2 g; assuming LDPE; insulation thickness cited at 0.3 - actually 0.15?</t>
  </si>
  <si>
    <t>Takahashi2013 - Figure 5</t>
  </si>
  <si>
    <t>Wang2020[1] - Figure 7a; assuming LDPE</t>
  </si>
  <si>
    <t>Wang2020[1] - Figure 7b; assuming LDPE</t>
  </si>
  <si>
    <t>Wang2020[1] - Figure 7c; assuming LDPE</t>
  </si>
  <si>
    <t>Wang2020[1] - Figure 7d; assuming LDPE</t>
  </si>
  <si>
    <t>Zhao2020 - Figure 5; assuming LDPE</t>
  </si>
  <si>
    <t>Fang2019 - Figure 4a; calling is LDPE because of cited density, but cp and k don't match my values</t>
  </si>
  <si>
    <t>Fang2019 - Figure 4b; calling is LDPE because of cited density, but cp and k don't match my values</t>
  </si>
  <si>
    <t>Konno2018 - Figure 3; LDPE properties reported line up with HDPE values, but assuming typo was in property table</t>
  </si>
  <si>
    <t>Lu2019 - Figure 3; assuming HDPE because of cited density value</t>
  </si>
  <si>
    <t>Wang2020[2] - Figure 8; assuming LDPE because of cited density value</t>
  </si>
  <si>
    <t>Core Material</t>
  </si>
  <si>
    <t>Insulation Material</t>
  </si>
  <si>
    <t>Core OD [mm]</t>
  </si>
  <si>
    <t>Core ID [mm]</t>
  </si>
  <si>
    <t>Insulation OD [mm]</t>
  </si>
  <si>
    <t>Insulation ID [mm]</t>
  </si>
  <si>
    <t>Initial Core Mass [g]</t>
  </si>
  <si>
    <t>Initial Insulation Mass [g]</t>
  </si>
  <si>
    <t>Total Initial Mass [g]</t>
  </si>
  <si>
    <t>Sample Holder</t>
  </si>
  <si>
    <t>Length Scale [mm]</t>
  </si>
  <si>
    <t>Oxygen Concentration [%]</t>
  </si>
  <si>
    <t>Airflow Speed [m/s]</t>
  </si>
  <si>
    <t>Spread Direction</t>
  </si>
  <si>
    <t>Forced Flow ux [m/s]</t>
  </si>
  <si>
    <t>Forced Flow uy [m/s]</t>
  </si>
  <si>
    <t>Forced Flow uz [m/s]</t>
  </si>
  <si>
    <t>Gravity gx [g's]</t>
  </si>
  <si>
    <t>Gravity gy [g's]</t>
  </si>
  <si>
    <t>Ignitor "ON" Length [s]</t>
  </si>
  <si>
    <t>Average Pressure [kPa]</t>
  </si>
  <si>
    <t>Mass Burned [g]</t>
  </si>
  <si>
    <t>Final Sample Mass [g]</t>
  </si>
  <si>
    <t>Mass Dripped [g]</t>
  </si>
  <si>
    <t>Configuration</t>
  </si>
  <si>
    <t>vertical</t>
  </si>
  <si>
    <t>inclined</t>
  </si>
  <si>
    <t>horizontal</t>
  </si>
  <si>
    <t>microgravedad</t>
  </si>
  <si>
    <t>UC Berkeley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</si>
</sst>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m/d/yyyy;@"/>
    <numFmt numFmtId="167" formatCode="0.000000"/>
    <numFmt numFmtId="168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4" fontId="0" fillId="0" borderId="4" xfId="0" applyNumberFormat="1" applyBorder="1"/>
    <xf numFmtId="0" fontId="0" fillId="0" borderId="4" xfId="0" applyBorder="1" applyAlignment="1">
      <alignment horizontal="left" vertical="center"/>
    </xf>
    <xf numFmtId="2" fontId="0" fillId="0" borderId="3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6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6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9F9FFF"/>
      <color rgb="FFDEC8EE"/>
      <color rgb="FFC39BE1"/>
      <color rgb="FFFF7C80"/>
      <color rgb="FF49C386"/>
      <color rgb="FF339966"/>
      <color rgb="FF00CC66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178"/>
  <sheetViews>
    <sheetView tabSelected="1" zoomScale="140" zoomScaleNormal="100" workbookViewId="0">
      <pane xSplit="1" ySplit="1" topLeftCell="AA2" activePane="bottomRight" state="frozen"/>
      <selection pane="topRight" activeCell="B1" sqref="B1"/>
      <selection pane="bottomLeft" activeCell="A3" sqref="A3"/>
      <selection pane="bottomRight" activeCell="AE11" sqref="AE11"/>
    </sheetView>
  </sheetViews>
  <sheetFormatPr baseColWidth="10" defaultColWidth="8.83203125" defaultRowHeight="15" x14ac:dyDescent="0.2"/>
  <cols>
    <col min="1" max="1" width="5.5" style="1" bestFit="1" customWidth="1"/>
    <col min="2" max="2" width="10.6640625" style="13" customWidth="1"/>
    <col min="3" max="3" width="7.83203125" style="1" bestFit="1" customWidth="1"/>
    <col min="4" max="4" width="9.33203125" style="1" bestFit="1" customWidth="1"/>
    <col min="5" max="5" width="9.6640625" style="1" customWidth="1"/>
    <col min="6" max="6" width="9.33203125" style="15" bestFit="1" customWidth="1"/>
    <col min="7" max="7" width="8.6640625" style="15" customWidth="1"/>
    <col min="8" max="9" width="9.6640625" style="15" customWidth="1"/>
    <col min="10" max="10" width="10.6640625" style="16" customWidth="1"/>
    <col min="11" max="11" width="15.33203125" style="16" customWidth="1"/>
    <col min="12" max="12" width="10.83203125" style="16" customWidth="1"/>
    <col min="13" max="13" width="7.33203125" style="17" customWidth="1"/>
    <col min="14" max="14" width="9.83203125" style="18" bestFit="1" customWidth="1"/>
    <col min="15" max="15" width="16.6640625" style="18" customWidth="1"/>
    <col min="16" max="16" width="12" style="23" customWidth="1"/>
    <col min="17" max="17" width="9.6640625" style="1" bestFit="1" customWidth="1"/>
    <col min="18" max="18" width="12" style="20" customWidth="1"/>
    <col min="19" max="21" width="12" style="19" customWidth="1"/>
    <col min="22" max="23" width="12" style="20" customWidth="1"/>
    <col min="25" max="25" width="12" style="18" customWidth="1"/>
    <col min="26" max="26" width="6.6640625" style="15" customWidth="1"/>
    <col min="27" max="27" width="10.33203125" style="16" customWidth="1"/>
    <col min="28" max="28" width="12.1640625" style="16" customWidth="1"/>
    <col min="29" max="29" width="10" style="16" bestFit="1" customWidth="1"/>
    <col min="30" max="30" width="12.1640625" style="1" bestFit="1" customWidth="1"/>
    <col min="31" max="31" width="35.1640625" style="22" customWidth="1"/>
    <col min="32" max="16384" width="8.83203125" style="1"/>
  </cols>
  <sheetData>
    <row r="1" spans="1:32" s="2" customFormat="1" ht="32" x14ac:dyDescent="0.2">
      <c r="A1" s="2" t="s">
        <v>31</v>
      </c>
      <c r="B1" s="2" t="s">
        <v>0</v>
      </c>
      <c r="C1" s="2" t="s">
        <v>36</v>
      </c>
      <c r="D1" s="7" t="s">
        <v>112</v>
      </c>
      <c r="E1" s="7" t="s">
        <v>113</v>
      </c>
      <c r="F1" s="7" t="s">
        <v>114</v>
      </c>
      <c r="G1" s="7" t="s">
        <v>115</v>
      </c>
      <c r="H1" s="7" t="s">
        <v>116</v>
      </c>
      <c r="I1" s="7" t="s">
        <v>117</v>
      </c>
      <c r="J1" s="7" t="s">
        <v>118</v>
      </c>
      <c r="K1" s="7" t="s">
        <v>119</v>
      </c>
      <c r="L1" s="7" t="s">
        <v>120</v>
      </c>
      <c r="M1" s="7" t="s">
        <v>121</v>
      </c>
      <c r="N1" s="8" t="s">
        <v>122</v>
      </c>
      <c r="O1" s="7" t="s">
        <v>123</v>
      </c>
      <c r="P1" s="7" t="s">
        <v>124</v>
      </c>
      <c r="Q1" s="7" t="s">
        <v>125</v>
      </c>
      <c r="R1" s="7" t="s">
        <v>136</v>
      </c>
      <c r="S1" s="9" t="s">
        <v>126</v>
      </c>
      <c r="T1" s="9" t="s">
        <v>127</v>
      </c>
      <c r="U1" s="10" t="s">
        <v>128</v>
      </c>
      <c r="V1" s="7" t="s">
        <v>129</v>
      </c>
      <c r="W1" s="7" t="s">
        <v>130</v>
      </c>
      <c r="Y1" s="2" t="s">
        <v>131</v>
      </c>
      <c r="Z1" s="11" t="s">
        <v>132</v>
      </c>
      <c r="AA1" s="2" t="s">
        <v>133</v>
      </c>
      <c r="AB1" s="2" t="s">
        <v>134</v>
      </c>
      <c r="AC1" s="2" t="s">
        <v>135</v>
      </c>
      <c r="AD1" s="7" t="s">
        <v>61</v>
      </c>
      <c r="AE1" s="12" t="s">
        <v>3</v>
      </c>
    </row>
    <row r="2" spans="1:32" x14ac:dyDescent="0.2">
      <c r="A2" s="1">
        <v>54</v>
      </c>
      <c r="B2" s="13">
        <v>43493</v>
      </c>
      <c r="C2" s="14" t="s">
        <v>34</v>
      </c>
      <c r="D2" s="14" t="s">
        <v>5</v>
      </c>
      <c r="E2" s="14" t="s">
        <v>25</v>
      </c>
      <c r="F2" s="15">
        <v>2.4129999999999998</v>
      </c>
      <c r="G2" s="15">
        <v>2.1589999999999998</v>
      </c>
      <c r="H2" s="15">
        <v>4</v>
      </c>
      <c r="I2" s="15">
        <v>2.5</v>
      </c>
      <c r="J2" s="16">
        <v>0.96372999999999998</v>
      </c>
      <c r="K2" s="16">
        <v>0.70001999999999998</v>
      </c>
      <c r="L2" s="16">
        <f t="shared" ref="L2:L22" si="0">K2+J2</f>
        <v>1.6637499999999998</v>
      </c>
      <c r="M2" s="17" t="s">
        <v>26</v>
      </c>
      <c r="N2" s="18">
        <v>100</v>
      </c>
      <c r="O2" s="18">
        <v>21</v>
      </c>
      <c r="P2" s="15">
        <v>0.1</v>
      </c>
      <c r="Q2" s="1" t="s">
        <v>1</v>
      </c>
      <c r="R2" s="20" t="s">
        <v>139</v>
      </c>
      <c r="S2" s="19">
        <v>-0.1</v>
      </c>
      <c r="T2" s="19">
        <v>0</v>
      </c>
      <c r="U2" s="19">
        <v>0</v>
      </c>
      <c r="V2" s="20">
        <v>0</v>
      </c>
      <c r="W2" s="20">
        <v>-1</v>
      </c>
      <c r="Y2" s="18">
        <v>24</v>
      </c>
      <c r="Z2" s="15">
        <v>100</v>
      </c>
      <c r="AD2" s="21">
        <v>0.82515256424140704</v>
      </c>
      <c r="AE2" s="22" t="s">
        <v>141</v>
      </c>
      <c r="AF2" s="22"/>
    </row>
    <row r="3" spans="1:32" x14ac:dyDescent="0.2">
      <c r="A3" s="1">
        <v>55</v>
      </c>
      <c r="B3" s="13">
        <v>43493</v>
      </c>
      <c r="C3" s="14" t="s">
        <v>34</v>
      </c>
      <c r="D3" s="14" t="s">
        <v>5</v>
      </c>
      <c r="E3" s="14" t="s">
        <v>25</v>
      </c>
      <c r="F3" s="15">
        <v>2.4129999999999998</v>
      </c>
      <c r="G3" s="15">
        <v>2.1589999999999998</v>
      </c>
      <c r="H3" s="15">
        <v>4</v>
      </c>
      <c r="I3" s="15">
        <v>2.5</v>
      </c>
      <c r="J3" s="16">
        <v>0.96465000000000001</v>
      </c>
      <c r="K3" s="16">
        <v>0.69488000000000005</v>
      </c>
      <c r="L3" s="16">
        <f t="shared" si="0"/>
        <v>1.6595300000000002</v>
      </c>
      <c r="M3" s="17" t="s">
        <v>26</v>
      </c>
      <c r="N3" s="18">
        <v>100</v>
      </c>
      <c r="O3" s="18">
        <v>21</v>
      </c>
      <c r="P3" s="15">
        <v>0.1</v>
      </c>
      <c r="Q3" s="1" t="s">
        <v>1</v>
      </c>
      <c r="R3" s="20" t="str">
        <f>R2</f>
        <v>horizontal</v>
      </c>
      <c r="S3" s="19">
        <v>-0.1</v>
      </c>
      <c r="T3" s="19">
        <v>0</v>
      </c>
      <c r="U3" s="19">
        <v>0</v>
      </c>
      <c r="V3" s="20">
        <v>0</v>
      </c>
      <c r="W3" s="20">
        <v>-1</v>
      </c>
      <c r="Y3" s="18">
        <v>24</v>
      </c>
      <c r="Z3" s="15">
        <v>100</v>
      </c>
      <c r="AD3" s="21">
        <v>0.73859815719689303</v>
      </c>
      <c r="AE3" s="22" t="str">
        <f>AE2</f>
        <v>UC Berkeley Lab</v>
      </c>
      <c r="AF3" s="22" t="s">
        <v>6</v>
      </c>
    </row>
    <row r="4" spans="1:32" x14ac:dyDescent="0.2">
      <c r="A4" s="1">
        <v>56</v>
      </c>
      <c r="B4" s="13">
        <v>43493</v>
      </c>
      <c r="C4" s="14" t="s">
        <v>34</v>
      </c>
      <c r="D4" s="14" t="s">
        <v>5</v>
      </c>
      <c r="E4" s="14" t="s">
        <v>25</v>
      </c>
      <c r="F4" s="15">
        <v>2.4129999999999998</v>
      </c>
      <c r="G4" s="15">
        <v>2.1589999999999998</v>
      </c>
      <c r="H4" s="15">
        <v>4</v>
      </c>
      <c r="I4" s="15">
        <v>2.5</v>
      </c>
      <c r="J4" s="16">
        <v>0.96391000000000004</v>
      </c>
      <c r="K4" s="16">
        <v>0.69755</v>
      </c>
      <c r="L4" s="16">
        <f t="shared" si="0"/>
        <v>1.6614599999999999</v>
      </c>
      <c r="M4" s="17" t="s">
        <v>26</v>
      </c>
      <c r="N4" s="18">
        <v>100</v>
      </c>
      <c r="O4" s="18">
        <v>21</v>
      </c>
      <c r="P4" s="15">
        <v>0.1</v>
      </c>
      <c r="Q4" s="1" t="s">
        <v>1</v>
      </c>
      <c r="R4" s="20" t="str">
        <f t="shared" ref="R4:R67" si="1">R3</f>
        <v>horizontal</v>
      </c>
      <c r="S4" s="19">
        <v>-0.1</v>
      </c>
      <c r="T4" s="19">
        <v>0</v>
      </c>
      <c r="U4" s="19">
        <v>0</v>
      </c>
      <c r="V4" s="20">
        <v>0</v>
      </c>
      <c r="W4" s="20">
        <v>-1</v>
      </c>
      <c r="Y4" s="18">
        <v>24</v>
      </c>
      <c r="Z4" s="15">
        <v>100</v>
      </c>
      <c r="AD4" s="21">
        <v>0.81852316699743999</v>
      </c>
      <c r="AE4" s="22" t="str">
        <f t="shared" ref="AE4:AE67" si="2">AE3</f>
        <v>UC Berkeley Lab</v>
      </c>
      <c r="AF4" s="22" t="s">
        <v>7</v>
      </c>
    </row>
    <row r="5" spans="1:32" x14ac:dyDescent="0.2">
      <c r="A5" s="1">
        <v>57</v>
      </c>
      <c r="B5" s="13">
        <v>43493</v>
      </c>
      <c r="C5" s="14" t="s">
        <v>34</v>
      </c>
      <c r="D5" s="14" t="s">
        <v>5</v>
      </c>
      <c r="E5" s="14" t="s">
        <v>25</v>
      </c>
      <c r="F5" s="15">
        <v>2.4129999999999998</v>
      </c>
      <c r="G5" s="15">
        <v>2.1589999999999998</v>
      </c>
      <c r="H5" s="15">
        <v>4</v>
      </c>
      <c r="I5" s="15">
        <v>2.5</v>
      </c>
      <c r="J5" s="16">
        <v>0.97048999999999996</v>
      </c>
      <c r="K5" s="16">
        <v>0.69804999999999995</v>
      </c>
      <c r="L5" s="16">
        <f t="shared" si="0"/>
        <v>1.6685399999999999</v>
      </c>
      <c r="M5" s="17" t="s">
        <v>26</v>
      </c>
      <c r="N5" s="18">
        <v>100</v>
      </c>
      <c r="O5" s="18">
        <v>21</v>
      </c>
      <c r="P5" s="15">
        <v>0.2</v>
      </c>
      <c r="Q5" s="1" t="s">
        <v>1</v>
      </c>
      <c r="R5" s="20" t="str">
        <f t="shared" si="1"/>
        <v>horizontal</v>
      </c>
      <c r="S5" s="19">
        <v>-0.2</v>
      </c>
      <c r="T5" s="19">
        <v>0</v>
      </c>
      <c r="U5" s="19">
        <v>0</v>
      </c>
      <c r="V5" s="20">
        <v>0</v>
      </c>
      <c r="W5" s="20">
        <v>-1</v>
      </c>
      <c r="Y5" s="18">
        <v>24</v>
      </c>
      <c r="Z5" s="15">
        <v>100</v>
      </c>
      <c r="AD5" s="21">
        <v>0.63411422922299499</v>
      </c>
      <c r="AE5" s="22" t="str">
        <f t="shared" si="2"/>
        <v>UC Berkeley Lab</v>
      </c>
      <c r="AF5" s="22"/>
    </row>
    <row r="6" spans="1:32" x14ac:dyDescent="0.2">
      <c r="A6" s="1">
        <v>58</v>
      </c>
      <c r="B6" s="13">
        <v>43493</v>
      </c>
      <c r="C6" s="14" t="s">
        <v>34</v>
      </c>
      <c r="D6" s="14" t="s">
        <v>5</v>
      </c>
      <c r="E6" s="14" t="s">
        <v>25</v>
      </c>
      <c r="F6" s="15">
        <v>2.4129999999999998</v>
      </c>
      <c r="G6" s="15">
        <v>2.1589999999999998</v>
      </c>
      <c r="H6" s="15">
        <v>4</v>
      </c>
      <c r="I6" s="15">
        <v>2.5</v>
      </c>
      <c r="J6" s="16">
        <v>0.97057000000000004</v>
      </c>
      <c r="K6" s="16">
        <v>0.69347000000000003</v>
      </c>
      <c r="L6" s="16">
        <f t="shared" si="0"/>
        <v>1.66404</v>
      </c>
      <c r="M6" s="17" t="s">
        <v>26</v>
      </c>
      <c r="N6" s="18">
        <v>100</v>
      </c>
      <c r="O6" s="18">
        <v>21</v>
      </c>
      <c r="P6" s="15">
        <v>0.2</v>
      </c>
      <c r="Q6" s="1" t="s">
        <v>1</v>
      </c>
      <c r="R6" s="20" t="str">
        <f t="shared" si="1"/>
        <v>horizontal</v>
      </c>
      <c r="S6" s="19">
        <v>-0.2</v>
      </c>
      <c r="T6" s="19">
        <v>0</v>
      </c>
      <c r="U6" s="19">
        <v>0</v>
      </c>
      <c r="V6" s="20">
        <v>0</v>
      </c>
      <c r="W6" s="20">
        <v>-1</v>
      </c>
      <c r="Y6" s="18">
        <v>24</v>
      </c>
      <c r="Z6" s="15">
        <v>100</v>
      </c>
      <c r="AD6" s="21">
        <v>0.62657994212355195</v>
      </c>
      <c r="AE6" s="22" t="str">
        <f t="shared" si="2"/>
        <v>UC Berkeley Lab</v>
      </c>
      <c r="AF6" s="22" t="s">
        <v>7</v>
      </c>
    </row>
    <row r="7" spans="1:32" x14ac:dyDescent="0.2">
      <c r="A7" s="1">
        <v>59</v>
      </c>
      <c r="B7" s="13">
        <v>43493</v>
      </c>
      <c r="C7" s="14" t="s">
        <v>34</v>
      </c>
      <c r="D7" s="14" t="s">
        <v>5</v>
      </c>
      <c r="E7" s="14" t="s">
        <v>25</v>
      </c>
      <c r="F7" s="15">
        <v>2.4129999999999998</v>
      </c>
      <c r="G7" s="15">
        <v>2.1589999999999998</v>
      </c>
      <c r="H7" s="15">
        <v>4</v>
      </c>
      <c r="I7" s="15">
        <v>2.5</v>
      </c>
      <c r="J7" s="16">
        <v>0.97050000000000003</v>
      </c>
      <c r="K7" s="16">
        <v>0.69708999999999999</v>
      </c>
      <c r="L7" s="16">
        <f t="shared" si="0"/>
        <v>1.6675900000000001</v>
      </c>
      <c r="M7" s="17" t="s">
        <v>26</v>
      </c>
      <c r="N7" s="18">
        <v>100</v>
      </c>
      <c r="O7" s="18">
        <v>21</v>
      </c>
      <c r="P7" s="15">
        <v>0.2</v>
      </c>
      <c r="Q7" s="1" t="s">
        <v>1</v>
      </c>
      <c r="R7" s="20" t="str">
        <f t="shared" si="1"/>
        <v>horizontal</v>
      </c>
      <c r="S7" s="19">
        <v>-0.2</v>
      </c>
      <c r="T7" s="19">
        <v>0</v>
      </c>
      <c r="U7" s="19">
        <v>0</v>
      </c>
      <c r="V7" s="20">
        <v>0</v>
      </c>
      <c r="W7" s="20">
        <v>-1</v>
      </c>
      <c r="Y7" s="18">
        <v>24</v>
      </c>
      <c r="Z7" s="15">
        <v>100</v>
      </c>
      <c r="AD7" s="21">
        <v>0.72705169290013405</v>
      </c>
      <c r="AE7" s="22" t="str">
        <f t="shared" si="2"/>
        <v>UC Berkeley Lab</v>
      </c>
      <c r="AF7" s="22" t="s">
        <v>7</v>
      </c>
    </row>
    <row r="8" spans="1:32" x14ac:dyDescent="0.2">
      <c r="A8" s="1">
        <v>60</v>
      </c>
      <c r="B8" s="13">
        <v>43493</v>
      </c>
      <c r="C8" s="14" t="s">
        <v>34</v>
      </c>
      <c r="D8" s="14" t="s">
        <v>5</v>
      </c>
      <c r="E8" s="14" t="s">
        <v>25</v>
      </c>
      <c r="F8" s="15">
        <v>2.4129999999999998</v>
      </c>
      <c r="G8" s="15">
        <v>2.1589999999999998</v>
      </c>
      <c r="H8" s="15">
        <v>4</v>
      </c>
      <c r="I8" s="15">
        <v>2.5</v>
      </c>
      <c r="J8" s="16">
        <v>0.96143000000000001</v>
      </c>
      <c r="K8" s="16">
        <v>0.69613999999999998</v>
      </c>
      <c r="L8" s="16">
        <f t="shared" si="0"/>
        <v>1.65757</v>
      </c>
      <c r="M8" s="17" t="s">
        <v>26</v>
      </c>
      <c r="N8" s="18">
        <v>100</v>
      </c>
      <c r="O8" s="18">
        <v>21</v>
      </c>
      <c r="P8" s="15">
        <v>0.3</v>
      </c>
      <c r="Q8" s="1" t="s">
        <v>1</v>
      </c>
      <c r="R8" s="20" t="str">
        <f t="shared" si="1"/>
        <v>horizontal</v>
      </c>
      <c r="S8" s="19">
        <v>-0.3</v>
      </c>
      <c r="T8" s="19">
        <v>0</v>
      </c>
      <c r="U8" s="19">
        <v>0</v>
      </c>
      <c r="V8" s="20">
        <v>0</v>
      </c>
      <c r="W8" s="20">
        <v>-1</v>
      </c>
      <c r="Y8" s="18">
        <v>24</v>
      </c>
      <c r="Z8" s="15">
        <v>100</v>
      </c>
      <c r="AD8" s="21">
        <v>0.61580727848166295</v>
      </c>
      <c r="AE8" s="22" t="str">
        <f t="shared" si="2"/>
        <v>UC Berkeley Lab</v>
      </c>
      <c r="AF8" s="22"/>
    </row>
    <row r="9" spans="1:32" x14ac:dyDescent="0.2">
      <c r="A9" s="1">
        <v>61</v>
      </c>
      <c r="B9" s="13">
        <v>43493</v>
      </c>
      <c r="C9" s="14" t="s">
        <v>34</v>
      </c>
      <c r="D9" s="14" t="s">
        <v>5</v>
      </c>
      <c r="E9" s="14" t="s">
        <v>25</v>
      </c>
      <c r="F9" s="15">
        <v>2.4129999999999998</v>
      </c>
      <c r="G9" s="15">
        <v>2.1589999999999998</v>
      </c>
      <c r="H9" s="15">
        <v>4</v>
      </c>
      <c r="I9" s="15">
        <v>2.5</v>
      </c>
      <c r="J9" s="16">
        <v>0.96175999999999995</v>
      </c>
      <c r="K9" s="16">
        <v>0.69647000000000003</v>
      </c>
      <c r="L9" s="16">
        <f t="shared" si="0"/>
        <v>1.6582300000000001</v>
      </c>
      <c r="M9" s="17" t="s">
        <v>26</v>
      </c>
      <c r="N9" s="18">
        <v>100</v>
      </c>
      <c r="O9" s="18">
        <v>21</v>
      </c>
      <c r="P9" s="15">
        <v>0.3</v>
      </c>
      <c r="Q9" s="1" t="s">
        <v>1</v>
      </c>
      <c r="R9" s="20" t="str">
        <f t="shared" si="1"/>
        <v>horizontal</v>
      </c>
      <c r="S9" s="19">
        <v>-0.3</v>
      </c>
      <c r="T9" s="19">
        <v>0</v>
      </c>
      <c r="U9" s="19">
        <v>0</v>
      </c>
      <c r="V9" s="20">
        <v>0</v>
      </c>
      <c r="W9" s="20">
        <v>-1</v>
      </c>
      <c r="Y9" s="18">
        <v>24</v>
      </c>
      <c r="Z9" s="15">
        <v>100</v>
      </c>
      <c r="AD9" s="21">
        <v>0.60447727636341997</v>
      </c>
      <c r="AE9" s="22" t="str">
        <f t="shared" si="2"/>
        <v>UC Berkeley Lab</v>
      </c>
      <c r="AF9" s="22" t="s">
        <v>7</v>
      </c>
    </row>
    <row r="10" spans="1:32" x14ac:dyDescent="0.2">
      <c r="A10" s="1">
        <v>62</v>
      </c>
      <c r="B10" s="13">
        <v>43493</v>
      </c>
      <c r="C10" s="14" t="s">
        <v>34</v>
      </c>
      <c r="D10" s="14" t="s">
        <v>5</v>
      </c>
      <c r="E10" s="14" t="s">
        <v>25</v>
      </c>
      <c r="F10" s="15">
        <v>2.4129999999999998</v>
      </c>
      <c r="G10" s="15">
        <v>2.1589999999999998</v>
      </c>
      <c r="H10" s="15">
        <v>4</v>
      </c>
      <c r="I10" s="15">
        <v>2.5</v>
      </c>
      <c r="J10" s="16">
        <v>0.96184000000000003</v>
      </c>
      <c r="K10" s="16">
        <v>0.69330000000000003</v>
      </c>
      <c r="L10" s="16">
        <f t="shared" si="0"/>
        <v>1.6551400000000001</v>
      </c>
      <c r="M10" s="17" t="s">
        <v>26</v>
      </c>
      <c r="N10" s="18">
        <v>100</v>
      </c>
      <c r="O10" s="18">
        <v>21</v>
      </c>
      <c r="P10" s="15">
        <v>0.3</v>
      </c>
      <c r="Q10" s="1" t="s">
        <v>1</v>
      </c>
      <c r="R10" s="20" t="str">
        <f t="shared" si="1"/>
        <v>horizontal</v>
      </c>
      <c r="S10" s="19">
        <v>-0.3</v>
      </c>
      <c r="T10" s="19">
        <v>0</v>
      </c>
      <c r="U10" s="19">
        <v>0</v>
      </c>
      <c r="V10" s="20">
        <v>0</v>
      </c>
      <c r="W10" s="20">
        <v>-1</v>
      </c>
      <c r="Y10" s="18">
        <v>24</v>
      </c>
      <c r="Z10" s="15">
        <v>100</v>
      </c>
      <c r="AD10" s="21">
        <v>0.62085625493159002</v>
      </c>
      <c r="AE10" s="22" t="str">
        <f t="shared" si="2"/>
        <v>UC Berkeley Lab</v>
      </c>
      <c r="AF10" s="22" t="s">
        <v>7</v>
      </c>
    </row>
    <row r="11" spans="1:32" x14ac:dyDescent="0.2">
      <c r="A11" s="1">
        <v>63</v>
      </c>
      <c r="B11" s="13">
        <v>43493</v>
      </c>
      <c r="C11" s="14" t="s">
        <v>34</v>
      </c>
      <c r="D11" s="14" t="s">
        <v>5</v>
      </c>
      <c r="E11" s="14" t="s">
        <v>25</v>
      </c>
      <c r="F11" s="15">
        <v>2.4129999999999998</v>
      </c>
      <c r="G11" s="15">
        <v>2.1589999999999998</v>
      </c>
      <c r="H11" s="15">
        <v>4</v>
      </c>
      <c r="I11" s="15">
        <v>2.5</v>
      </c>
      <c r="J11" s="16">
        <v>0.97216999999999998</v>
      </c>
      <c r="K11" s="16">
        <v>0.69832000000000005</v>
      </c>
      <c r="L11" s="16">
        <f t="shared" si="0"/>
        <v>1.67049</v>
      </c>
      <c r="M11" s="17" t="s">
        <v>26</v>
      </c>
      <c r="N11" s="18">
        <v>100</v>
      </c>
      <c r="O11" s="18">
        <v>21</v>
      </c>
      <c r="P11" s="15">
        <v>0</v>
      </c>
      <c r="Q11" s="1" t="s">
        <v>33</v>
      </c>
      <c r="R11" s="20" t="str">
        <f t="shared" si="1"/>
        <v>horizontal</v>
      </c>
      <c r="S11" s="19">
        <v>0</v>
      </c>
      <c r="T11" s="19">
        <v>0</v>
      </c>
      <c r="U11" s="19">
        <v>0</v>
      </c>
      <c r="V11" s="20">
        <v>0</v>
      </c>
      <c r="W11" s="20">
        <v>-1</v>
      </c>
      <c r="Y11" s="18">
        <v>24</v>
      </c>
      <c r="Z11" s="15">
        <v>100</v>
      </c>
      <c r="AD11" s="21">
        <v>0.99724039008438103</v>
      </c>
      <c r="AE11" s="22" t="str">
        <f t="shared" si="2"/>
        <v>UC Berkeley Lab</v>
      </c>
      <c r="AF11" s="22"/>
    </row>
    <row r="12" spans="1:32" x14ac:dyDescent="0.2">
      <c r="A12" s="1">
        <v>64</v>
      </c>
      <c r="B12" s="13">
        <v>43493</v>
      </c>
      <c r="C12" s="14" t="s">
        <v>34</v>
      </c>
      <c r="D12" s="14" t="s">
        <v>5</v>
      </c>
      <c r="E12" s="14" t="s">
        <v>25</v>
      </c>
      <c r="F12" s="15">
        <v>2.4129999999999998</v>
      </c>
      <c r="G12" s="15">
        <v>2.1589999999999998</v>
      </c>
      <c r="H12" s="15">
        <v>4</v>
      </c>
      <c r="I12" s="15">
        <v>2.5</v>
      </c>
      <c r="J12" s="16">
        <v>0.97231999999999996</v>
      </c>
      <c r="K12" s="16">
        <v>0.69910000000000005</v>
      </c>
      <c r="L12" s="16">
        <f t="shared" si="0"/>
        <v>1.6714199999999999</v>
      </c>
      <c r="M12" s="17" t="s">
        <v>26</v>
      </c>
      <c r="N12" s="18">
        <v>100</v>
      </c>
      <c r="O12" s="18">
        <v>21</v>
      </c>
      <c r="P12" s="15">
        <v>0</v>
      </c>
      <c r="Q12" s="1" t="s">
        <v>33</v>
      </c>
      <c r="R12" s="20" t="str">
        <f t="shared" si="1"/>
        <v>horizontal</v>
      </c>
      <c r="S12" s="19">
        <v>0</v>
      </c>
      <c r="T12" s="19">
        <v>0</v>
      </c>
      <c r="U12" s="19">
        <v>0</v>
      </c>
      <c r="V12" s="20">
        <v>0</v>
      </c>
      <c r="W12" s="20">
        <v>-1</v>
      </c>
      <c r="Y12" s="18">
        <v>24</v>
      </c>
      <c r="Z12" s="15">
        <v>100</v>
      </c>
      <c r="AD12" s="21">
        <v>1.0505385780569001</v>
      </c>
      <c r="AE12" s="22" t="str">
        <f t="shared" si="2"/>
        <v>UC Berkeley Lab</v>
      </c>
      <c r="AF12" s="22" t="s">
        <v>7</v>
      </c>
    </row>
    <row r="13" spans="1:32" x14ac:dyDescent="0.2">
      <c r="A13" s="1">
        <v>65</v>
      </c>
      <c r="B13" s="13">
        <v>43493</v>
      </c>
      <c r="C13" s="14" t="s">
        <v>34</v>
      </c>
      <c r="D13" s="14" t="s">
        <v>5</v>
      </c>
      <c r="E13" s="14" t="s">
        <v>25</v>
      </c>
      <c r="F13" s="15">
        <v>2.4129999999999998</v>
      </c>
      <c r="G13" s="15">
        <v>2.1589999999999998</v>
      </c>
      <c r="H13" s="15">
        <v>4</v>
      </c>
      <c r="I13" s="15">
        <v>2.5</v>
      </c>
      <c r="J13" s="16">
        <v>0.97260000000000002</v>
      </c>
      <c r="K13" s="16">
        <v>0.69621999999999995</v>
      </c>
      <c r="L13" s="16">
        <f t="shared" si="0"/>
        <v>1.66882</v>
      </c>
      <c r="M13" s="17" t="s">
        <v>26</v>
      </c>
      <c r="N13" s="18">
        <v>100</v>
      </c>
      <c r="O13" s="18">
        <v>21</v>
      </c>
      <c r="P13" s="15">
        <v>0</v>
      </c>
      <c r="Q13" s="1" t="s">
        <v>33</v>
      </c>
      <c r="R13" s="20" t="str">
        <f t="shared" si="1"/>
        <v>horizontal</v>
      </c>
      <c r="S13" s="19">
        <v>0</v>
      </c>
      <c r="T13" s="19">
        <v>0</v>
      </c>
      <c r="U13" s="19">
        <v>0</v>
      </c>
      <c r="V13" s="20">
        <v>0</v>
      </c>
      <c r="W13" s="20">
        <v>-1</v>
      </c>
      <c r="Y13" s="18">
        <v>24</v>
      </c>
      <c r="Z13" s="15">
        <v>100</v>
      </c>
      <c r="AD13" s="21">
        <v>1.12975617910236</v>
      </c>
      <c r="AE13" s="22" t="str">
        <f t="shared" si="2"/>
        <v>UC Berkeley Lab</v>
      </c>
      <c r="AF13" s="22" t="s">
        <v>7</v>
      </c>
    </row>
    <row r="14" spans="1:32" x14ac:dyDescent="0.2">
      <c r="A14" s="1">
        <v>66</v>
      </c>
      <c r="B14" s="13">
        <v>43493</v>
      </c>
      <c r="C14" s="14" t="s">
        <v>34</v>
      </c>
      <c r="D14" s="14" t="s">
        <v>5</v>
      </c>
      <c r="E14" s="14" t="s">
        <v>25</v>
      </c>
      <c r="F14" s="15">
        <v>2.4129999999999998</v>
      </c>
      <c r="G14" s="15">
        <v>2.1589999999999998</v>
      </c>
      <c r="H14" s="15">
        <v>4</v>
      </c>
      <c r="I14" s="15">
        <v>2.5</v>
      </c>
      <c r="J14" s="16">
        <v>0.97116000000000002</v>
      </c>
      <c r="K14" s="16">
        <v>0.69723000000000002</v>
      </c>
      <c r="L14" s="16">
        <f t="shared" si="0"/>
        <v>1.66839</v>
      </c>
      <c r="M14" s="17" t="s">
        <v>26</v>
      </c>
      <c r="N14" s="18">
        <v>100</v>
      </c>
      <c r="O14" s="18">
        <v>21</v>
      </c>
      <c r="P14" s="15">
        <v>0.1</v>
      </c>
      <c r="Q14" s="1" t="s">
        <v>2</v>
      </c>
      <c r="R14" s="20" t="str">
        <f t="shared" si="1"/>
        <v>horizontal</v>
      </c>
      <c r="S14" s="19">
        <v>0.1</v>
      </c>
      <c r="T14" s="19">
        <v>0</v>
      </c>
      <c r="U14" s="19">
        <v>0</v>
      </c>
      <c r="V14" s="20">
        <v>0</v>
      </c>
      <c r="W14" s="20">
        <v>-1</v>
      </c>
      <c r="Y14" s="18">
        <v>24</v>
      </c>
      <c r="Z14" s="15">
        <v>100</v>
      </c>
      <c r="AD14" s="21">
        <v>1.4957013585504899</v>
      </c>
      <c r="AE14" s="22" t="str">
        <f t="shared" si="2"/>
        <v>UC Berkeley Lab</v>
      </c>
      <c r="AF14" s="22"/>
    </row>
    <row r="15" spans="1:32" x14ac:dyDescent="0.2">
      <c r="A15" s="1">
        <v>67</v>
      </c>
      <c r="B15" s="13">
        <v>43493</v>
      </c>
      <c r="C15" s="14" t="s">
        <v>34</v>
      </c>
      <c r="D15" s="14" t="s">
        <v>5</v>
      </c>
      <c r="E15" s="14" t="s">
        <v>25</v>
      </c>
      <c r="F15" s="15">
        <v>2.4129999999999998</v>
      </c>
      <c r="G15" s="15">
        <v>2.1589999999999998</v>
      </c>
      <c r="H15" s="15">
        <v>4</v>
      </c>
      <c r="I15" s="15">
        <v>2.5</v>
      </c>
      <c r="J15" s="16">
        <v>0.97143000000000002</v>
      </c>
      <c r="K15" s="16">
        <v>0.69399999999999995</v>
      </c>
      <c r="L15" s="16">
        <f t="shared" si="0"/>
        <v>1.66543</v>
      </c>
      <c r="M15" s="17" t="s">
        <v>26</v>
      </c>
      <c r="N15" s="18">
        <v>100</v>
      </c>
      <c r="O15" s="18">
        <v>21</v>
      </c>
      <c r="P15" s="15">
        <v>0.1</v>
      </c>
      <c r="Q15" s="1" t="s">
        <v>2</v>
      </c>
      <c r="R15" s="20" t="str">
        <f t="shared" si="1"/>
        <v>horizontal</v>
      </c>
      <c r="S15" s="19">
        <v>0.1</v>
      </c>
      <c r="T15" s="19">
        <v>0</v>
      </c>
      <c r="U15" s="19">
        <v>0</v>
      </c>
      <c r="V15" s="20">
        <v>0</v>
      </c>
      <c r="W15" s="20">
        <v>-1</v>
      </c>
      <c r="Y15" s="18">
        <v>24</v>
      </c>
      <c r="Z15" s="15">
        <v>100</v>
      </c>
      <c r="AD15" s="21">
        <v>1.31693779383134</v>
      </c>
      <c r="AE15" s="22" t="str">
        <f t="shared" si="2"/>
        <v>UC Berkeley Lab</v>
      </c>
      <c r="AF15" s="22" t="s">
        <v>7</v>
      </c>
    </row>
    <row r="16" spans="1:32" x14ac:dyDescent="0.2">
      <c r="A16" s="1">
        <v>68</v>
      </c>
      <c r="B16" s="13">
        <v>43493</v>
      </c>
      <c r="C16" s="14" t="s">
        <v>34</v>
      </c>
      <c r="D16" s="14" t="s">
        <v>5</v>
      </c>
      <c r="E16" s="14" t="s">
        <v>25</v>
      </c>
      <c r="F16" s="15">
        <v>2.4129999999999998</v>
      </c>
      <c r="G16" s="15">
        <v>2.1589999999999998</v>
      </c>
      <c r="H16" s="15">
        <v>4</v>
      </c>
      <c r="I16" s="15">
        <v>2.5</v>
      </c>
      <c r="J16" s="16">
        <v>0.97162000000000004</v>
      </c>
      <c r="K16" s="16">
        <v>0.69672000000000001</v>
      </c>
      <c r="L16" s="16">
        <f t="shared" si="0"/>
        <v>1.6683400000000002</v>
      </c>
      <c r="M16" s="17" t="s">
        <v>26</v>
      </c>
      <c r="N16" s="18">
        <v>100</v>
      </c>
      <c r="O16" s="18">
        <v>21</v>
      </c>
      <c r="P16" s="15">
        <v>0.1</v>
      </c>
      <c r="Q16" s="1" t="s">
        <v>2</v>
      </c>
      <c r="R16" s="20" t="str">
        <f t="shared" si="1"/>
        <v>horizontal</v>
      </c>
      <c r="S16" s="19">
        <v>0.1</v>
      </c>
      <c r="T16" s="19">
        <v>0</v>
      </c>
      <c r="U16" s="19">
        <v>0</v>
      </c>
      <c r="V16" s="20">
        <v>0</v>
      </c>
      <c r="W16" s="20">
        <v>-1</v>
      </c>
      <c r="Y16" s="18">
        <v>24</v>
      </c>
      <c r="Z16" s="15">
        <v>100</v>
      </c>
      <c r="AD16" s="21">
        <v>1.36187187640944</v>
      </c>
      <c r="AE16" s="22" t="str">
        <f t="shared" si="2"/>
        <v>UC Berkeley Lab</v>
      </c>
      <c r="AF16" s="22" t="s">
        <v>7</v>
      </c>
    </row>
    <row r="17" spans="1:32" x14ac:dyDescent="0.2">
      <c r="A17" s="1">
        <v>69</v>
      </c>
      <c r="B17" s="13">
        <v>43493</v>
      </c>
      <c r="C17" s="14" t="s">
        <v>34</v>
      </c>
      <c r="D17" s="14" t="s">
        <v>5</v>
      </c>
      <c r="E17" s="14" t="s">
        <v>25</v>
      </c>
      <c r="F17" s="15">
        <v>2.4129999999999998</v>
      </c>
      <c r="G17" s="15">
        <v>2.1589999999999998</v>
      </c>
      <c r="H17" s="15">
        <v>4</v>
      </c>
      <c r="I17" s="15">
        <v>2.5</v>
      </c>
      <c r="J17" s="16">
        <v>0.97892999999999997</v>
      </c>
      <c r="K17" s="16">
        <v>0.69593000000000005</v>
      </c>
      <c r="L17" s="16">
        <f t="shared" si="0"/>
        <v>1.67486</v>
      </c>
      <c r="M17" s="17" t="s">
        <v>26</v>
      </c>
      <c r="N17" s="18">
        <v>100</v>
      </c>
      <c r="O17" s="18">
        <v>21</v>
      </c>
      <c r="P17" s="15">
        <v>0.2</v>
      </c>
      <c r="Q17" s="1" t="s">
        <v>2</v>
      </c>
      <c r="R17" s="20" t="str">
        <f t="shared" si="1"/>
        <v>horizontal</v>
      </c>
      <c r="S17" s="19">
        <v>0.2</v>
      </c>
      <c r="T17" s="19">
        <v>0</v>
      </c>
      <c r="U17" s="19">
        <v>0</v>
      </c>
      <c r="V17" s="20">
        <v>0</v>
      </c>
      <c r="W17" s="20">
        <v>-1</v>
      </c>
      <c r="Y17" s="18">
        <v>24</v>
      </c>
      <c r="Z17" s="15">
        <v>100</v>
      </c>
      <c r="AD17" s="21">
        <v>1.5290626908064</v>
      </c>
      <c r="AE17" s="22" t="str">
        <f t="shared" si="2"/>
        <v>UC Berkeley Lab</v>
      </c>
      <c r="AF17" s="22"/>
    </row>
    <row r="18" spans="1:32" x14ac:dyDescent="0.2">
      <c r="A18" s="1">
        <v>70</v>
      </c>
      <c r="B18" s="13">
        <v>43493</v>
      </c>
      <c r="C18" s="14" t="s">
        <v>34</v>
      </c>
      <c r="D18" s="14" t="s">
        <v>5</v>
      </c>
      <c r="E18" s="14" t="s">
        <v>25</v>
      </c>
      <c r="F18" s="15">
        <v>2.4129999999999998</v>
      </c>
      <c r="G18" s="15">
        <v>2.1589999999999998</v>
      </c>
      <c r="H18" s="15">
        <v>4</v>
      </c>
      <c r="I18" s="15">
        <v>2.5</v>
      </c>
      <c r="J18" s="16">
        <v>0.97923000000000004</v>
      </c>
      <c r="K18" s="16">
        <v>0.69886000000000004</v>
      </c>
      <c r="L18" s="16">
        <f t="shared" si="0"/>
        <v>1.6780900000000001</v>
      </c>
      <c r="M18" s="17" t="s">
        <v>26</v>
      </c>
      <c r="N18" s="18">
        <v>100</v>
      </c>
      <c r="O18" s="18">
        <v>21</v>
      </c>
      <c r="P18" s="15">
        <v>0.2</v>
      </c>
      <c r="Q18" s="1" t="s">
        <v>2</v>
      </c>
      <c r="R18" s="20" t="str">
        <f t="shared" si="1"/>
        <v>horizontal</v>
      </c>
      <c r="S18" s="19">
        <v>0.2</v>
      </c>
      <c r="T18" s="19">
        <v>0</v>
      </c>
      <c r="U18" s="19">
        <v>0</v>
      </c>
      <c r="V18" s="20">
        <v>0</v>
      </c>
      <c r="W18" s="20">
        <v>-1</v>
      </c>
      <c r="Y18" s="18">
        <v>24</v>
      </c>
      <c r="Z18" s="15">
        <v>100</v>
      </c>
      <c r="AD18" s="21">
        <v>1.6385866056410201</v>
      </c>
      <c r="AE18" s="22" t="str">
        <f t="shared" si="2"/>
        <v>UC Berkeley Lab</v>
      </c>
      <c r="AF18" s="22" t="s">
        <v>8</v>
      </c>
    </row>
    <row r="19" spans="1:32" x14ac:dyDescent="0.2">
      <c r="A19" s="1">
        <v>71</v>
      </c>
      <c r="B19" s="13">
        <v>43493</v>
      </c>
      <c r="C19" s="14" t="s">
        <v>34</v>
      </c>
      <c r="D19" s="14" t="s">
        <v>5</v>
      </c>
      <c r="E19" s="14" t="s">
        <v>25</v>
      </c>
      <c r="F19" s="15">
        <v>2.4129999999999998</v>
      </c>
      <c r="G19" s="15">
        <v>2.1589999999999998</v>
      </c>
      <c r="H19" s="15">
        <v>4</v>
      </c>
      <c r="I19" s="15">
        <v>2.5</v>
      </c>
      <c r="J19" s="16">
        <v>0.97914999999999996</v>
      </c>
      <c r="K19" s="16">
        <v>0.69677999999999995</v>
      </c>
      <c r="L19" s="16">
        <f t="shared" si="0"/>
        <v>1.6759299999999999</v>
      </c>
      <c r="M19" s="17" t="s">
        <v>26</v>
      </c>
      <c r="N19" s="18">
        <v>100</v>
      </c>
      <c r="O19" s="18">
        <v>21</v>
      </c>
      <c r="P19" s="15">
        <v>0.2</v>
      </c>
      <c r="Q19" s="1" t="s">
        <v>2</v>
      </c>
      <c r="R19" s="20" t="str">
        <f t="shared" si="1"/>
        <v>horizontal</v>
      </c>
      <c r="S19" s="19">
        <v>0.2</v>
      </c>
      <c r="T19" s="19">
        <v>0</v>
      </c>
      <c r="U19" s="19">
        <v>0</v>
      </c>
      <c r="V19" s="20">
        <v>0</v>
      </c>
      <c r="W19" s="20">
        <v>-1</v>
      </c>
      <c r="Y19" s="18">
        <v>24</v>
      </c>
      <c r="Z19" s="15">
        <v>100</v>
      </c>
      <c r="AD19" s="21">
        <v>1.5238516944184499</v>
      </c>
      <c r="AE19" s="22" t="str">
        <f t="shared" si="2"/>
        <v>UC Berkeley Lab</v>
      </c>
      <c r="AF19" s="22" t="s">
        <v>7</v>
      </c>
    </row>
    <row r="20" spans="1:32" x14ac:dyDescent="0.2">
      <c r="A20" s="1">
        <v>72</v>
      </c>
      <c r="B20" s="13">
        <v>43493</v>
      </c>
      <c r="C20" s="14" t="s">
        <v>34</v>
      </c>
      <c r="D20" s="14" t="s">
        <v>5</v>
      </c>
      <c r="E20" s="14" t="s">
        <v>25</v>
      </c>
      <c r="F20" s="15">
        <v>2.4129999999999998</v>
      </c>
      <c r="G20" s="15">
        <v>2.1589999999999998</v>
      </c>
      <c r="H20" s="15">
        <v>4</v>
      </c>
      <c r="I20" s="15">
        <v>2.5</v>
      </c>
      <c r="J20" s="16">
        <v>0.96004999999999996</v>
      </c>
      <c r="K20" s="16">
        <v>0.69699999999999995</v>
      </c>
      <c r="L20" s="16">
        <f t="shared" si="0"/>
        <v>1.6570499999999999</v>
      </c>
      <c r="M20" s="17" t="s">
        <v>26</v>
      </c>
      <c r="N20" s="18">
        <v>100</v>
      </c>
      <c r="O20" s="18">
        <v>21</v>
      </c>
      <c r="P20" s="15">
        <v>0.3</v>
      </c>
      <c r="Q20" s="1" t="s">
        <v>2</v>
      </c>
      <c r="R20" s="20" t="str">
        <f t="shared" si="1"/>
        <v>horizontal</v>
      </c>
      <c r="S20" s="19">
        <v>0.3</v>
      </c>
      <c r="T20" s="19">
        <v>0</v>
      </c>
      <c r="U20" s="19">
        <v>0</v>
      </c>
      <c r="V20" s="20">
        <v>0</v>
      </c>
      <c r="W20" s="20">
        <v>-1</v>
      </c>
      <c r="Y20" s="18">
        <v>24</v>
      </c>
      <c r="Z20" s="15">
        <v>100</v>
      </c>
      <c r="AD20" s="21">
        <v>1.8411230431238399</v>
      </c>
      <c r="AE20" s="22" t="str">
        <f t="shared" si="2"/>
        <v>UC Berkeley Lab</v>
      </c>
      <c r="AF20" s="22"/>
    </row>
    <row r="21" spans="1:32" x14ac:dyDescent="0.2">
      <c r="A21" s="1">
        <v>73</v>
      </c>
      <c r="B21" s="13">
        <v>43493</v>
      </c>
      <c r="C21" s="14" t="s">
        <v>34</v>
      </c>
      <c r="D21" s="14" t="s">
        <v>5</v>
      </c>
      <c r="E21" s="14" t="s">
        <v>25</v>
      </c>
      <c r="F21" s="15">
        <v>2.4129999999999998</v>
      </c>
      <c r="G21" s="15">
        <v>2.1589999999999998</v>
      </c>
      <c r="H21" s="15">
        <v>4</v>
      </c>
      <c r="I21" s="15">
        <v>2.5</v>
      </c>
      <c r="J21" s="16">
        <v>0.96962999999999999</v>
      </c>
      <c r="K21" s="16">
        <v>0.69552000000000003</v>
      </c>
      <c r="L21" s="16">
        <f t="shared" si="0"/>
        <v>1.6651500000000001</v>
      </c>
      <c r="M21" s="17" t="s">
        <v>26</v>
      </c>
      <c r="N21" s="18">
        <v>100</v>
      </c>
      <c r="O21" s="18">
        <v>21</v>
      </c>
      <c r="P21" s="15">
        <v>0.3</v>
      </c>
      <c r="Q21" s="1" t="s">
        <v>2</v>
      </c>
      <c r="R21" s="20" t="str">
        <f t="shared" si="1"/>
        <v>horizontal</v>
      </c>
      <c r="S21" s="19">
        <v>0.3</v>
      </c>
      <c r="T21" s="19">
        <v>0</v>
      </c>
      <c r="U21" s="19">
        <v>0</v>
      </c>
      <c r="V21" s="20">
        <v>0</v>
      </c>
      <c r="W21" s="20">
        <v>-1</v>
      </c>
      <c r="Y21" s="18">
        <v>24</v>
      </c>
      <c r="Z21" s="15">
        <v>100</v>
      </c>
      <c r="AD21" s="21">
        <v>1.9049095187496701</v>
      </c>
      <c r="AE21" s="22" t="str">
        <f t="shared" si="2"/>
        <v>UC Berkeley Lab</v>
      </c>
      <c r="AF21" s="22" t="s">
        <v>7</v>
      </c>
    </row>
    <row r="22" spans="1:32" x14ac:dyDescent="0.2">
      <c r="A22" s="1">
        <v>74</v>
      </c>
      <c r="B22" s="13">
        <v>43493</v>
      </c>
      <c r="C22" s="14" t="s">
        <v>34</v>
      </c>
      <c r="D22" s="14" t="s">
        <v>5</v>
      </c>
      <c r="E22" s="14" t="s">
        <v>25</v>
      </c>
      <c r="F22" s="15">
        <v>2.4129999999999998</v>
      </c>
      <c r="G22" s="15">
        <v>2.1589999999999998</v>
      </c>
      <c r="H22" s="15">
        <v>4</v>
      </c>
      <c r="I22" s="15">
        <v>2.5</v>
      </c>
      <c r="J22" s="16">
        <v>0.96059000000000005</v>
      </c>
      <c r="K22" s="16">
        <v>0.69835999999999998</v>
      </c>
      <c r="L22" s="16">
        <f t="shared" si="0"/>
        <v>1.6589499999999999</v>
      </c>
      <c r="M22" s="17" t="s">
        <v>26</v>
      </c>
      <c r="N22" s="18">
        <v>100</v>
      </c>
      <c r="O22" s="18">
        <v>21</v>
      </c>
      <c r="P22" s="15">
        <v>0.3</v>
      </c>
      <c r="Q22" s="1" t="s">
        <v>2</v>
      </c>
      <c r="R22" s="20" t="str">
        <f t="shared" si="1"/>
        <v>horizontal</v>
      </c>
      <c r="S22" s="19">
        <v>0.3</v>
      </c>
      <c r="T22" s="19">
        <v>0</v>
      </c>
      <c r="U22" s="19">
        <v>0</v>
      </c>
      <c r="V22" s="20">
        <v>0</v>
      </c>
      <c r="W22" s="20">
        <v>-1</v>
      </c>
      <c r="Y22" s="18">
        <v>24</v>
      </c>
      <c r="Z22" s="15">
        <v>100</v>
      </c>
      <c r="AD22" s="21">
        <v>1.7780153734383699</v>
      </c>
      <c r="AE22" s="22" t="str">
        <f t="shared" si="2"/>
        <v>UC Berkeley Lab</v>
      </c>
      <c r="AF22" s="22" t="s">
        <v>7</v>
      </c>
    </row>
    <row r="23" spans="1:32" x14ac:dyDescent="0.2">
      <c r="A23" s="1">
        <v>75</v>
      </c>
      <c r="B23" s="13">
        <v>43493</v>
      </c>
      <c r="C23" s="14" t="s">
        <v>34</v>
      </c>
      <c r="D23" s="14" t="s">
        <v>4</v>
      </c>
      <c r="E23" s="14" t="s">
        <v>25</v>
      </c>
      <c r="F23" s="15">
        <v>0.64</v>
      </c>
      <c r="G23" s="15">
        <v>0</v>
      </c>
      <c r="H23" s="15">
        <v>4</v>
      </c>
      <c r="I23" s="15">
        <v>0.7</v>
      </c>
      <c r="J23" s="16">
        <v>0.36597000000000002</v>
      </c>
      <c r="K23" s="16">
        <v>1.1305700000000001</v>
      </c>
      <c r="L23" s="16">
        <f>K23+J23</f>
        <v>1.49654</v>
      </c>
      <c r="M23" s="17" t="s">
        <v>26</v>
      </c>
      <c r="N23" s="18">
        <v>100</v>
      </c>
      <c r="O23" s="18">
        <v>21</v>
      </c>
      <c r="P23" s="15">
        <v>0.2</v>
      </c>
      <c r="Q23" s="1" t="s">
        <v>2</v>
      </c>
      <c r="R23" s="20" t="str">
        <f t="shared" si="1"/>
        <v>horizontal</v>
      </c>
      <c r="S23" s="19">
        <v>0.2</v>
      </c>
      <c r="T23" s="19">
        <v>0</v>
      </c>
      <c r="U23" s="19">
        <v>0</v>
      </c>
      <c r="V23" s="20">
        <v>0</v>
      </c>
      <c r="W23" s="20">
        <v>-1</v>
      </c>
      <c r="Y23" s="18">
        <v>24</v>
      </c>
      <c r="Z23" s="15">
        <v>100</v>
      </c>
      <c r="AD23" s="21">
        <v>1.1418580836266099</v>
      </c>
      <c r="AE23" s="22" t="str">
        <f t="shared" si="2"/>
        <v>UC Berkeley Lab</v>
      </c>
      <c r="AF23" s="22"/>
    </row>
    <row r="24" spans="1:32" x14ac:dyDescent="0.2">
      <c r="A24" s="1">
        <v>78</v>
      </c>
      <c r="B24" s="13">
        <v>43413</v>
      </c>
      <c r="C24" s="14" t="s">
        <v>34</v>
      </c>
      <c r="D24" s="14" t="s">
        <v>10</v>
      </c>
      <c r="E24" s="14" t="s">
        <v>25</v>
      </c>
      <c r="F24" s="15">
        <v>0.5</v>
      </c>
      <c r="G24" s="15">
        <v>0</v>
      </c>
      <c r="H24" s="15">
        <v>0.8</v>
      </c>
      <c r="I24" s="15">
        <v>0.5</v>
      </c>
      <c r="M24" s="17" t="s">
        <v>27</v>
      </c>
      <c r="N24" s="18">
        <v>196</v>
      </c>
      <c r="O24" s="18">
        <v>21</v>
      </c>
      <c r="P24" s="15">
        <v>0.2</v>
      </c>
      <c r="Q24" s="1" t="s">
        <v>1</v>
      </c>
      <c r="R24" s="20" t="str">
        <f t="shared" si="1"/>
        <v>horizontal</v>
      </c>
      <c r="S24" s="19">
        <v>-0.2</v>
      </c>
      <c r="T24" s="19">
        <v>0</v>
      </c>
      <c r="U24" s="19">
        <v>0</v>
      </c>
      <c r="V24" s="20">
        <v>0</v>
      </c>
      <c r="W24" s="20">
        <v>-1</v>
      </c>
      <c r="Y24" s="18">
        <v>24</v>
      </c>
      <c r="Z24" s="15">
        <v>100</v>
      </c>
      <c r="AD24" s="21">
        <v>2.9578338139720501</v>
      </c>
      <c r="AE24" s="22" t="str">
        <f t="shared" si="2"/>
        <v>UC Berkeley Lab</v>
      </c>
      <c r="AF24" s="22" t="s">
        <v>62</v>
      </c>
    </row>
    <row r="25" spans="1:32" x14ac:dyDescent="0.2">
      <c r="A25" s="1">
        <v>79</v>
      </c>
      <c r="B25" s="13">
        <v>43413</v>
      </c>
      <c r="C25" s="14" t="s">
        <v>34</v>
      </c>
      <c r="D25" s="14" t="s">
        <v>10</v>
      </c>
      <c r="E25" s="14" t="s">
        <v>25</v>
      </c>
      <c r="F25" s="15">
        <v>0.5</v>
      </c>
      <c r="G25" s="15">
        <v>0</v>
      </c>
      <c r="H25" s="15">
        <v>0.8</v>
      </c>
      <c r="I25" s="15">
        <v>0.5</v>
      </c>
      <c r="M25" s="17" t="s">
        <v>27</v>
      </c>
      <c r="N25" s="18">
        <v>196</v>
      </c>
      <c r="O25" s="18">
        <v>21</v>
      </c>
      <c r="P25" s="15">
        <v>0.2</v>
      </c>
      <c r="Q25" s="1" t="s">
        <v>1</v>
      </c>
      <c r="R25" s="20" t="str">
        <f t="shared" si="1"/>
        <v>horizontal</v>
      </c>
      <c r="S25" s="19">
        <v>-0.2</v>
      </c>
      <c r="T25" s="19">
        <v>0</v>
      </c>
      <c r="U25" s="19">
        <v>0</v>
      </c>
      <c r="V25" s="20">
        <v>0</v>
      </c>
      <c r="W25" s="20">
        <v>-1</v>
      </c>
      <c r="Y25" s="18">
        <v>24</v>
      </c>
      <c r="Z25" s="15">
        <v>100</v>
      </c>
      <c r="AD25" s="21">
        <v>2.95971277484754</v>
      </c>
      <c r="AE25" s="22" t="str">
        <f t="shared" si="2"/>
        <v>UC Berkeley Lab</v>
      </c>
      <c r="AF25" s="22" t="s">
        <v>62</v>
      </c>
    </row>
    <row r="26" spans="1:32" x14ac:dyDescent="0.2">
      <c r="A26" s="1">
        <v>80</v>
      </c>
      <c r="B26" s="13">
        <v>43413</v>
      </c>
      <c r="C26" s="14" t="s">
        <v>34</v>
      </c>
      <c r="D26" s="14" t="s">
        <v>10</v>
      </c>
      <c r="E26" s="14" t="s">
        <v>25</v>
      </c>
      <c r="F26" s="15">
        <v>0.5</v>
      </c>
      <c r="G26" s="15">
        <v>0</v>
      </c>
      <c r="H26" s="15">
        <v>0.8</v>
      </c>
      <c r="I26" s="15">
        <v>0.5</v>
      </c>
      <c r="M26" s="17" t="s">
        <v>27</v>
      </c>
      <c r="N26" s="18">
        <v>196</v>
      </c>
      <c r="O26" s="18">
        <v>21</v>
      </c>
      <c r="P26" s="15">
        <v>0.2</v>
      </c>
      <c r="Q26" s="1" t="s">
        <v>1</v>
      </c>
      <c r="R26" s="20" t="str">
        <f t="shared" si="1"/>
        <v>horizontal</v>
      </c>
      <c r="S26" s="19">
        <v>-0.2</v>
      </c>
      <c r="T26" s="19">
        <v>0</v>
      </c>
      <c r="U26" s="19">
        <v>0</v>
      </c>
      <c r="V26" s="20">
        <v>0</v>
      </c>
      <c r="W26" s="20">
        <v>-1</v>
      </c>
      <c r="Y26" s="18">
        <v>24</v>
      </c>
      <c r="Z26" s="15">
        <v>100</v>
      </c>
      <c r="AD26" s="21">
        <v>2.9655352632700498</v>
      </c>
      <c r="AE26" s="22" t="str">
        <f t="shared" si="2"/>
        <v>UC Berkeley Lab</v>
      </c>
      <c r="AF26" s="22" t="s">
        <v>62</v>
      </c>
    </row>
    <row r="27" spans="1:32" x14ac:dyDescent="0.2">
      <c r="A27" s="1">
        <v>84</v>
      </c>
      <c r="B27" s="13">
        <v>43413</v>
      </c>
      <c r="C27" s="14" t="s">
        <v>34</v>
      </c>
      <c r="D27" s="14" t="s">
        <v>10</v>
      </c>
      <c r="E27" s="14" t="s">
        <v>25</v>
      </c>
      <c r="F27" s="15">
        <v>0.5</v>
      </c>
      <c r="G27" s="15">
        <v>0</v>
      </c>
      <c r="H27" s="15">
        <v>0.8</v>
      </c>
      <c r="I27" s="15">
        <v>0.5</v>
      </c>
      <c r="M27" s="17" t="s">
        <v>27</v>
      </c>
      <c r="N27" s="18">
        <v>196</v>
      </c>
      <c r="O27" s="18">
        <v>21</v>
      </c>
      <c r="P27" s="15">
        <v>0.1</v>
      </c>
      <c r="Q27" s="1" t="s">
        <v>1</v>
      </c>
      <c r="R27" s="20" t="str">
        <f t="shared" si="1"/>
        <v>horizontal</v>
      </c>
      <c r="S27" s="19">
        <v>-0.1</v>
      </c>
      <c r="T27" s="19">
        <v>0</v>
      </c>
      <c r="U27" s="19">
        <v>0</v>
      </c>
      <c r="V27" s="20">
        <v>0</v>
      </c>
      <c r="W27" s="20">
        <v>-1</v>
      </c>
      <c r="Y27" s="18">
        <v>24</v>
      </c>
      <c r="Z27" s="15">
        <v>100</v>
      </c>
      <c r="AD27" s="21">
        <v>2.9596802852616801</v>
      </c>
      <c r="AE27" s="22" t="str">
        <f t="shared" si="2"/>
        <v>UC Berkeley Lab</v>
      </c>
      <c r="AF27" s="22" t="s">
        <v>62</v>
      </c>
    </row>
    <row r="28" spans="1:32" x14ac:dyDescent="0.2">
      <c r="A28" s="1">
        <v>85</v>
      </c>
      <c r="B28" s="13">
        <v>43413</v>
      </c>
      <c r="C28" s="14" t="s">
        <v>34</v>
      </c>
      <c r="D28" s="14" t="s">
        <v>10</v>
      </c>
      <c r="E28" s="14" t="s">
        <v>25</v>
      </c>
      <c r="F28" s="15">
        <v>0.5</v>
      </c>
      <c r="G28" s="15">
        <v>0</v>
      </c>
      <c r="H28" s="15">
        <v>0.8</v>
      </c>
      <c r="I28" s="15">
        <v>0.5</v>
      </c>
      <c r="M28" s="17" t="s">
        <v>27</v>
      </c>
      <c r="N28" s="18">
        <v>196</v>
      </c>
      <c r="O28" s="18">
        <v>21</v>
      </c>
      <c r="P28" s="15">
        <v>0.1</v>
      </c>
      <c r="Q28" s="1" t="s">
        <v>1</v>
      </c>
      <c r="R28" s="20" t="str">
        <f t="shared" si="1"/>
        <v>horizontal</v>
      </c>
      <c r="S28" s="19">
        <v>-0.1</v>
      </c>
      <c r="T28" s="19">
        <v>0</v>
      </c>
      <c r="U28" s="19">
        <v>0</v>
      </c>
      <c r="V28" s="20">
        <v>0</v>
      </c>
      <c r="W28" s="20">
        <v>-1</v>
      </c>
      <c r="Y28" s="18">
        <v>24</v>
      </c>
      <c r="Z28" s="15">
        <v>100</v>
      </c>
      <c r="AD28" s="21">
        <v>2.94564969216359</v>
      </c>
      <c r="AE28" s="22" t="str">
        <f t="shared" si="2"/>
        <v>UC Berkeley Lab</v>
      </c>
      <c r="AF28" s="22" t="s">
        <v>62</v>
      </c>
    </row>
    <row r="29" spans="1:32" x14ac:dyDescent="0.2">
      <c r="A29" s="1">
        <v>87</v>
      </c>
      <c r="B29" s="13">
        <v>43413</v>
      </c>
      <c r="C29" s="14" t="s">
        <v>34</v>
      </c>
      <c r="D29" s="14" t="s">
        <v>10</v>
      </c>
      <c r="E29" s="14" t="s">
        <v>25</v>
      </c>
      <c r="F29" s="15">
        <v>0.5</v>
      </c>
      <c r="G29" s="15">
        <v>0</v>
      </c>
      <c r="H29" s="15">
        <v>0.8</v>
      </c>
      <c r="I29" s="15">
        <v>0.5</v>
      </c>
      <c r="M29" s="17" t="s">
        <v>27</v>
      </c>
      <c r="N29" s="18">
        <v>196</v>
      </c>
      <c r="O29" s="18">
        <v>21</v>
      </c>
      <c r="P29" s="15">
        <v>0.1</v>
      </c>
      <c r="Q29" s="1" t="s">
        <v>2</v>
      </c>
      <c r="R29" s="20" t="str">
        <f t="shared" si="1"/>
        <v>horizontal</v>
      </c>
      <c r="S29" s="19">
        <v>0.1</v>
      </c>
      <c r="T29" s="19">
        <v>0</v>
      </c>
      <c r="U29" s="19">
        <v>0</v>
      </c>
      <c r="V29" s="20">
        <v>0</v>
      </c>
      <c r="W29" s="20">
        <v>-1</v>
      </c>
      <c r="Y29" s="18">
        <v>24</v>
      </c>
      <c r="Z29" s="15">
        <v>100</v>
      </c>
      <c r="AD29" s="21">
        <v>4.2558909045670097</v>
      </c>
      <c r="AE29" s="22" t="str">
        <f t="shared" si="2"/>
        <v>UC Berkeley Lab</v>
      </c>
      <c r="AF29" s="22" t="s">
        <v>62</v>
      </c>
    </row>
    <row r="30" spans="1:32" x14ac:dyDescent="0.2">
      <c r="A30" s="1">
        <v>88</v>
      </c>
      <c r="B30" s="13">
        <v>43413</v>
      </c>
      <c r="C30" s="14" t="s">
        <v>34</v>
      </c>
      <c r="D30" s="14" t="s">
        <v>10</v>
      </c>
      <c r="E30" s="14" t="s">
        <v>25</v>
      </c>
      <c r="F30" s="15">
        <v>0.5</v>
      </c>
      <c r="G30" s="15">
        <v>0</v>
      </c>
      <c r="H30" s="15">
        <v>0.8</v>
      </c>
      <c r="I30" s="15">
        <v>0.5</v>
      </c>
      <c r="M30" s="17" t="s">
        <v>27</v>
      </c>
      <c r="N30" s="18">
        <v>196</v>
      </c>
      <c r="O30" s="18">
        <v>21</v>
      </c>
      <c r="P30" s="15">
        <v>0.1</v>
      </c>
      <c r="Q30" s="1" t="s">
        <v>2</v>
      </c>
      <c r="R30" s="20" t="str">
        <f t="shared" si="1"/>
        <v>horizontal</v>
      </c>
      <c r="S30" s="19">
        <v>0.1</v>
      </c>
      <c r="T30" s="19">
        <v>0</v>
      </c>
      <c r="U30" s="19">
        <v>0</v>
      </c>
      <c r="V30" s="20">
        <v>0</v>
      </c>
      <c r="W30" s="20">
        <v>-1</v>
      </c>
      <c r="Y30" s="18">
        <v>24</v>
      </c>
      <c r="Z30" s="15">
        <v>100</v>
      </c>
      <c r="AD30" s="21">
        <v>4.3182959862596002</v>
      </c>
      <c r="AE30" s="22" t="str">
        <f t="shared" si="2"/>
        <v>UC Berkeley Lab</v>
      </c>
      <c r="AF30" s="22" t="s">
        <v>62</v>
      </c>
    </row>
    <row r="31" spans="1:32" x14ac:dyDescent="0.2">
      <c r="A31" s="1">
        <v>89</v>
      </c>
      <c r="B31" s="13">
        <v>43413</v>
      </c>
      <c r="C31" s="14" t="s">
        <v>34</v>
      </c>
      <c r="D31" s="14" t="s">
        <v>10</v>
      </c>
      <c r="E31" s="14" t="s">
        <v>25</v>
      </c>
      <c r="F31" s="15">
        <v>0.5</v>
      </c>
      <c r="G31" s="15">
        <v>0</v>
      </c>
      <c r="H31" s="15">
        <v>0.8</v>
      </c>
      <c r="I31" s="15">
        <v>0.5</v>
      </c>
      <c r="M31" s="17" t="s">
        <v>27</v>
      </c>
      <c r="N31" s="18">
        <v>196</v>
      </c>
      <c r="O31" s="18">
        <v>21</v>
      </c>
      <c r="P31" s="15">
        <v>0.1</v>
      </c>
      <c r="Q31" s="1" t="s">
        <v>2</v>
      </c>
      <c r="R31" s="20" t="str">
        <f t="shared" si="1"/>
        <v>horizontal</v>
      </c>
      <c r="S31" s="19">
        <v>0.1</v>
      </c>
      <c r="T31" s="19">
        <v>0</v>
      </c>
      <c r="U31" s="19">
        <v>0</v>
      </c>
      <c r="V31" s="20">
        <v>0</v>
      </c>
      <c r="W31" s="20">
        <v>-1</v>
      </c>
      <c r="Y31" s="18">
        <v>24</v>
      </c>
      <c r="Z31" s="15">
        <v>100</v>
      </c>
      <c r="AD31" s="21">
        <v>4.1745192878260697</v>
      </c>
      <c r="AE31" s="22" t="str">
        <f t="shared" si="2"/>
        <v>UC Berkeley Lab</v>
      </c>
      <c r="AF31" s="22" t="s">
        <v>62</v>
      </c>
    </row>
    <row r="32" spans="1:32" x14ac:dyDescent="0.2">
      <c r="A32" s="1">
        <v>90</v>
      </c>
      <c r="B32" s="13">
        <v>43497</v>
      </c>
      <c r="C32" s="14" t="s">
        <v>34</v>
      </c>
      <c r="D32" s="1" t="s">
        <v>9</v>
      </c>
      <c r="E32" s="14" t="s">
        <v>25</v>
      </c>
      <c r="F32" s="15">
        <v>0.64</v>
      </c>
      <c r="G32" s="15">
        <v>0</v>
      </c>
      <c r="H32" s="15">
        <v>4</v>
      </c>
      <c r="I32" s="15">
        <v>0.7</v>
      </c>
      <c r="J32" s="16">
        <v>0.34133000000000002</v>
      </c>
      <c r="K32" s="16">
        <v>1.1338299999999999</v>
      </c>
      <c r="L32" s="16">
        <f>SUM(J32:K32)</f>
        <v>1.4751599999999998</v>
      </c>
      <c r="M32" s="17" t="s">
        <v>26</v>
      </c>
      <c r="N32" s="18">
        <v>100</v>
      </c>
      <c r="O32" s="18">
        <v>21</v>
      </c>
      <c r="P32" s="15">
        <v>0.2</v>
      </c>
      <c r="Q32" s="1" t="s">
        <v>2</v>
      </c>
      <c r="R32" s="20" t="str">
        <f t="shared" si="1"/>
        <v>horizontal</v>
      </c>
      <c r="S32" s="19">
        <v>0.2</v>
      </c>
      <c r="T32" s="19">
        <v>0</v>
      </c>
      <c r="U32" s="19">
        <v>0</v>
      </c>
      <c r="V32" s="20">
        <v>0</v>
      </c>
      <c r="W32" s="20">
        <v>-1</v>
      </c>
      <c r="Y32" s="18">
        <v>24</v>
      </c>
      <c r="Z32" s="15">
        <v>100</v>
      </c>
      <c r="AD32" s="21">
        <v>1.00113046434458</v>
      </c>
      <c r="AE32" s="22" t="str">
        <f t="shared" si="2"/>
        <v>UC Berkeley Lab</v>
      </c>
      <c r="AF32" s="22"/>
    </row>
    <row r="33" spans="1:32" x14ac:dyDescent="0.2">
      <c r="A33" s="1">
        <v>91</v>
      </c>
      <c r="B33" s="13">
        <v>43504</v>
      </c>
      <c r="C33" s="14" t="s">
        <v>34</v>
      </c>
      <c r="D33" s="1" t="s">
        <v>9</v>
      </c>
      <c r="E33" s="14" t="s">
        <v>25</v>
      </c>
      <c r="F33" s="15">
        <v>0.64</v>
      </c>
      <c r="G33" s="15">
        <v>0</v>
      </c>
      <c r="H33" s="15">
        <v>4</v>
      </c>
      <c r="I33" s="15">
        <v>0.7</v>
      </c>
      <c r="J33" s="16">
        <v>0.33495999999999998</v>
      </c>
      <c r="K33" s="16">
        <v>1.13575</v>
      </c>
      <c r="L33" s="16">
        <f t="shared" ref="L33:L89" si="3">SUM(J33:K33)</f>
        <v>1.47071</v>
      </c>
      <c r="M33" s="17" t="s">
        <v>26</v>
      </c>
      <c r="N33" s="18">
        <v>100</v>
      </c>
      <c r="O33" s="18">
        <v>21</v>
      </c>
      <c r="P33" s="15">
        <v>0</v>
      </c>
      <c r="Q33" s="1" t="s">
        <v>33</v>
      </c>
      <c r="R33" s="20" t="str">
        <f t="shared" si="1"/>
        <v>horizontal</v>
      </c>
      <c r="S33" s="19">
        <v>0</v>
      </c>
      <c r="T33" s="19">
        <v>0</v>
      </c>
      <c r="U33" s="19">
        <v>0</v>
      </c>
      <c r="V33" s="20">
        <v>0</v>
      </c>
      <c r="W33" s="20">
        <v>-1</v>
      </c>
      <c r="Y33" s="18">
        <v>24</v>
      </c>
      <c r="Z33" s="15">
        <v>100</v>
      </c>
      <c r="AD33" s="21">
        <v>0.69216891569114403</v>
      </c>
      <c r="AE33" s="22" t="str">
        <f t="shared" si="2"/>
        <v>UC Berkeley Lab</v>
      </c>
      <c r="AF33" s="22" t="s">
        <v>11</v>
      </c>
    </row>
    <row r="34" spans="1:32" x14ac:dyDescent="0.2">
      <c r="A34" s="1">
        <v>92</v>
      </c>
      <c r="B34" s="13">
        <v>43504</v>
      </c>
      <c r="C34" s="14" t="s">
        <v>34</v>
      </c>
      <c r="D34" s="1" t="s">
        <v>9</v>
      </c>
      <c r="E34" s="14" t="s">
        <v>25</v>
      </c>
      <c r="F34" s="15">
        <v>0.64</v>
      </c>
      <c r="G34" s="15">
        <v>0</v>
      </c>
      <c r="H34" s="15">
        <v>4</v>
      </c>
      <c r="I34" s="15">
        <v>0.7</v>
      </c>
      <c r="J34" s="16">
        <v>0.34621000000000002</v>
      </c>
      <c r="K34" s="16">
        <v>1.1359699999999999</v>
      </c>
      <c r="L34" s="16">
        <f t="shared" si="3"/>
        <v>1.4821800000000001</v>
      </c>
      <c r="M34" s="17" t="s">
        <v>26</v>
      </c>
      <c r="N34" s="18">
        <v>100</v>
      </c>
      <c r="O34" s="18">
        <v>21</v>
      </c>
      <c r="P34" s="15">
        <v>0.2</v>
      </c>
      <c r="Q34" s="1" t="s">
        <v>2</v>
      </c>
      <c r="R34" s="20" t="str">
        <f t="shared" si="1"/>
        <v>horizontal</v>
      </c>
      <c r="S34" s="19">
        <v>0.2</v>
      </c>
      <c r="T34" s="19">
        <v>0</v>
      </c>
      <c r="U34" s="19">
        <v>0</v>
      </c>
      <c r="V34" s="20">
        <v>0</v>
      </c>
      <c r="W34" s="20">
        <v>-1</v>
      </c>
      <c r="Y34" s="18">
        <v>24</v>
      </c>
      <c r="Z34" s="15">
        <v>100</v>
      </c>
      <c r="AD34" s="21">
        <v>0.98466295047984798</v>
      </c>
      <c r="AE34" s="22" t="str">
        <f t="shared" si="2"/>
        <v>UC Berkeley Lab</v>
      </c>
      <c r="AF34" s="22"/>
    </row>
    <row r="35" spans="1:32" x14ac:dyDescent="0.2">
      <c r="A35" s="1">
        <v>93</v>
      </c>
      <c r="B35" s="13">
        <v>43504</v>
      </c>
      <c r="C35" s="14" t="s">
        <v>34</v>
      </c>
      <c r="D35" s="1" t="s">
        <v>9</v>
      </c>
      <c r="E35" s="14" t="s">
        <v>25</v>
      </c>
      <c r="F35" s="15">
        <v>0.64</v>
      </c>
      <c r="G35" s="15">
        <v>0</v>
      </c>
      <c r="H35" s="15">
        <v>4</v>
      </c>
      <c r="I35" s="15">
        <v>0.7</v>
      </c>
      <c r="J35" s="16">
        <v>0.34791</v>
      </c>
      <c r="K35" s="16">
        <v>1.1289199999999999</v>
      </c>
      <c r="L35" s="16">
        <f t="shared" si="3"/>
        <v>1.4768299999999999</v>
      </c>
      <c r="M35" s="17" t="s">
        <v>26</v>
      </c>
      <c r="N35" s="18">
        <v>100</v>
      </c>
      <c r="O35" s="18">
        <v>21</v>
      </c>
      <c r="P35" s="15">
        <v>0.3</v>
      </c>
      <c r="Q35" s="1" t="s">
        <v>2</v>
      </c>
      <c r="R35" s="20" t="str">
        <f t="shared" si="1"/>
        <v>horizontal</v>
      </c>
      <c r="S35" s="19">
        <v>0.3</v>
      </c>
      <c r="T35" s="19">
        <v>0</v>
      </c>
      <c r="U35" s="19">
        <v>0</v>
      </c>
      <c r="V35" s="20">
        <v>0</v>
      </c>
      <c r="W35" s="20">
        <v>-1</v>
      </c>
      <c r="Y35" s="18">
        <v>24</v>
      </c>
      <c r="Z35" s="15">
        <v>100</v>
      </c>
      <c r="AD35" s="21">
        <v>1.1044202632303699</v>
      </c>
      <c r="AE35" s="22" t="str">
        <f t="shared" si="2"/>
        <v>UC Berkeley Lab</v>
      </c>
      <c r="AF35" s="22"/>
    </row>
    <row r="36" spans="1:32" x14ac:dyDescent="0.2">
      <c r="A36" s="1">
        <v>94</v>
      </c>
      <c r="B36" s="13">
        <v>43504</v>
      </c>
      <c r="C36" s="14" t="s">
        <v>34</v>
      </c>
      <c r="D36" s="1" t="s">
        <v>9</v>
      </c>
      <c r="E36" s="14" t="s">
        <v>25</v>
      </c>
      <c r="F36" s="15">
        <v>0.64</v>
      </c>
      <c r="G36" s="15">
        <v>0</v>
      </c>
      <c r="H36" s="15">
        <v>4</v>
      </c>
      <c r="I36" s="15">
        <v>0.7</v>
      </c>
      <c r="J36" s="16">
        <v>0.34264</v>
      </c>
      <c r="K36" s="16">
        <v>1.1309499999999999</v>
      </c>
      <c r="L36" s="16">
        <f t="shared" si="3"/>
        <v>1.47359</v>
      </c>
      <c r="M36" s="17" t="s">
        <v>26</v>
      </c>
      <c r="N36" s="18">
        <v>100</v>
      </c>
      <c r="O36" s="18">
        <v>21</v>
      </c>
      <c r="P36" s="15">
        <v>0.3</v>
      </c>
      <c r="Q36" s="1" t="s">
        <v>2</v>
      </c>
      <c r="R36" s="20" t="str">
        <f t="shared" si="1"/>
        <v>horizontal</v>
      </c>
      <c r="S36" s="19">
        <v>0.3</v>
      </c>
      <c r="T36" s="19">
        <v>0</v>
      </c>
      <c r="U36" s="19">
        <v>0</v>
      </c>
      <c r="V36" s="20">
        <v>0</v>
      </c>
      <c r="W36" s="20">
        <v>-1</v>
      </c>
      <c r="Y36" s="18">
        <v>100</v>
      </c>
      <c r="Z36" s="15">
        <v>100</v>
      </c>
      <c r="AD36" s="21">
        <v>1.15366619692239</v>
      </c>
      <c r="AE36" s="22" t="str">
        <f t="shared" si="2"/>
        <v>UC Berkeley Lab</v>
      </c>
      <c r="AF36" s="22" t="s">
        <v>12</v>
      </c>
    </row>
    <row r="37" spans="1:32" x14ac:dyDescent="0.2">
      <c r="A37" s="1">
        <v>95</v>
      </c>
      <c r="B37" s="13">
        <v>43504</v>
      </c>
      <c r="C37" s="14" t="s">
        <v>34</v>
      </c>
      <c r="D37" s="1" t="s">
        <v>9</v>
      </c>
      <c r="E37" s="14" t="s">
        <v>25</v>
      </c>
      <c r="F37" s="15">
        <v>0.64</v>
      </c>
      <c r="G37" s="15">
        <v>0</v>
      </c>
      <c r="H37" s="15">
        <v>4</v>
      </c>
      <c r="I37" s="15">
        <v>0.7</v>
      </c>
      <c r="J37" s="16">
        <v>0.34050999999999998</v>
      </c>
      <c r="K37" s="16">
        <v>1.1393</v>
      </c>
      <c r="L37" s="16">
        <f t="shared" si="3"/>
        <v>1.4798100000000001</v>
      </c>
      <c r="M37" s="17" t="s">
        <v>26</v>
      </c>
      <c r="N37" s="18">
        <v>100</v>
      </c>
      <c r="O37" s="18">
        <v>21</v>
      </c>
      <c r="P37" s="15">
        <v>0.3</v>
      </c>
      <c r="Q37" s="1" t="s">
        <v>2</v>
      </c>
      <c r="R37" s="20" t="str">
        <f t="shared" si="1"/>
        <v>horizontal</v>
      </c>
      <c r="S37" s="19">
        <v>0.3</v>
      </c>
      <c r="T37" s="19">
        <v>0</v>
      </c>
      <c r="U37" s="19">
        <v>0</v>
      </c>
      <c r="V37" s="20">
        <v>0</v>
      </c>
      <c r="W37" s="20">
        <v>-1</v>
      </c>
      <c r="Y37" s="18">
        <v>24</v>
      </c>
      <c r="Z37" s="15">
        <v>100</v>
      </c>
      <c r="AD37" s="21">
        <v>1.1149031398303499</v>
      </c>
      <c r="AE37" s="22" t="str">
        <f t="shared" si="2"/>
        <v>UC Berkeley Lab</v>
      </c>
      <c r="AF37" s="22"/>
    </row>
    <row r="38" spans="1:32" x14ac:dyDescent="0.2">
      <c r="A38" s="1">
        <v>96</v>
      </c>
      <c r="B38" s="13">
        <v>43504</v>
      </c>
      <c r="C38" s="14" t="s">
        <v>34</v>
      </c>
      <c r="D38" s="1" t="s">
        <v>9</v>
      </c>
      <c r="E38" s="14" t="s">
        <v>25</v>
      </c>
      <c r="F38" s="15">
        <v>0.64</v>
      </c>
      <c r="G38" s="15">
        <v>0</v>
      </c>
      <c r="H38" s="15">
        <v>4</v>
      </c>
      <c r="I38" s="15">
        <v>0.7</v>
      </c>
      <c r="J38" s="16">
        <v>0.34761999999999998</v>
      </c>
      <c r="K38" s="16">
        <v>1.12886</v>
      </c>
      <c r="L38" s="16">
        <f t="shared" si="3"/>
        <v>1.47648</v>
      </c>
      <c r="M38" s="17" t="s">
        <v>26</v>
      </c>
      <c r="N38" s="18">
        <v>100</v>
      </c>
      <c r="O38" s="18">
        <v>21</v>
      </c>
      <c r="P38" s="15">
        <v>0.1</v>
      </c>
      <c r="Q38" s="1" t="s">
        <v>2</v>
      </c>
      <c r="R38" s="20" t="str">
        <f t="shared" si="1"/>
        <v>horizontal</v>
      </c>
      <c r="S38" s="19">
        <v>0.1</v>
      </c>
      <c r="T38" s="19">
        <v>0</v>
      </c>
      <c r="U38" s="19">
        <v>0</v>
      </c>
      <c r="V38" s="20">
        <v>0</v>
      </c>
      <c r="W38" s="20">
        <v>-1</v>
      </c>
      <c r="Y38" s="18">
        <v>24</v>
      </c>
      <c r="Z38" s="15">
        <v>100</v>
      </c>
      <c r="AD38" s="21">
        <v>0.90772673800122905</v>
      </c>
      <c r="AE38" s="22" t="str">
        <f t="shared" si="2"/>
        <v>UC Berkeley Lab</v>
      </c>
      <c r="AF38" s="22"/>
    </row>
    <row r="39" spans="1:32" x14ac:dyDescent="0.2">
      <c r="A39" s="1">
        <v>97</v>
      </c>
      <c r="B39" s="13">
        <v>43504</v>
      </c>
      <c r="C39" s="14" t="s">
        <v>34</v>
      </c>
      <c r="D39" s="1" t="s">
        <v>9</v>
      </c>
      <c r="E39" s="14" t="s">
        <v>25</v>
      </c>
      <c r="F39" s="15">
        <v>0.64</v>
      </c>
      <c r="G39" s="15">
        <v>0</v>
      </c>
      <c r="H39" s="15">
        <v>4</v>
      </c>
      <c r="I39" s="15">
        <v>0.7</v>
      </c>
      <c r="J39" s="16">
        <v>0.34281</v>
      </c>
      <c r="K39" s="16">
        <v>1.1205000000000001</v>
      </c>
      <c r="L39" s="16">
        <f t="shared" si="3"/>
        <v>1.4633100000000001</v>
      </c>
      <c r="M39" s="17" t="s">
        <v>26</v>
      </c>
      <c r="N39" s="18">
        <v>100</v>
      </c>
      <c r="O39" s="18">
        <v>21</v>
      </c>
      <c r="P39" s="15">
        <v>0.1</v>
      </c>
      <c r="Q39" s="1" t="s">
        <v>2</v>
      </c>
      <c r="R39" s="20" t="str">
        <f t="shared" si="1"/>
        <v>horizontal</v>
      </c>
      <c r="S39" s="19">
        <v>0.1</v>
      </c>
      <c r="T39" s="19">
        <v>0</v>
      </c>
      <c r="U39" s="19">
        <v>0</v>
      </c>
      <c r="V39" s="20">
        <v>0</v>
      </c>
      <c r="W39" s="20">
        <v>-1</v>
      </c>
      <c r="Y39" s="18">
        <v>60</v>
      </c>
      <c r="Z39" s="15">
        <v>100</v>
      </c>
      <c r="AD39" s="21">
        <v>0.93200125476189699</v>
      </c>
      <c r="AE39" s="22" t="str">
        <f t="shared" si="2"/>
        <v>UC Berkeley Lab</v>
      </c>
      <c r="AF39" s="22" t="s">
        <v>13</v>
      </c>
    </row>
    <row r="40" spans="1:32" x14ac:dyDescent="0.2">
      <c r="A40" s="1">
        <v>98</v>
      </c>
      <c r="B40" s="13">
        <v>43509</v>
      </c>
      <c r="C40" s="14" t="s">
        <v>34</v>
      </c>
      <c r="D40" s="1" t="s">
        <v>9</v>
      </c>
      <c r="E40" s="14" t="s">
        <v>25</v>
      </c>
      <c r="F40" s="15">
        <v>0.64</v>
      </c>
      <c r="G40" s="15">
        <v>0</v>
      </c>
      <c r="H40" s="15">
        <v>4</v>
      </c>
      <c r="I40" s="15">
        <v>0.7</v>
      </c>
      <c r="J40" s="16">
        <v>0.34222999999999998</v>
      </c>
      <c r="K40" s="16">
        <v>1.1320399999999999</v>
      </c>
      <c r="L40" s="16">
        <f t="shared" si="3"/>
        <v>1.47427</v>
      </c>
      <c r="M40" s="17" t="s">
        <v>26</v>
      </c>
      <c r="N40" s="18">
        <v>100</v>
      </c>
      <c r="O40" s="18">
        <v>21</v>
      </c>
      <c r="P40" s="15">
        <v>0.2</v>
      </c>
      <c r="Q40" s="1" t="s">
        <v>1</v>
      </c>
      <c r="R40" s="20" t="str">
        <f t="shared" si="1"/>
        <v>horizontal</v>
      </c>
      <c r="S40" s="19">
        <v>-0.2</v>
      </c>
      <c r="T40" s="19">
        <v>0</v>
      </c>
      <c r="U40" s="19">
        <v>0</v>
      </c>
      <c r="V40" s="20">
        <v>0</v>
      </c>
      <c r="W40" s="20">
        <v>-1</v>
      </c>
      <c r="Y40" s="18">
        <v>24</v>
      </c>
      <c r="Z40" s="15">
        <v>100</v>
      </c>
      <c r="AD40" s="21">
        <v>0.39101160046843297</v>
      </c>
      <c r="AE40" s="22" t="str">
        <f t="shared" si="2"/>
        <v>UC Berkeley Lab</v>
      </c>
      <c r="AF40" s="22"/>
    </row>
    <row r="41" spans="1:32" x14ac:dyDescent="0.2">
      <c r="A41" s="1">
        <v>99</v>
      </c>
      <c r="B41" s="13">
        <v>43509</v>
      </c>
      <c r="C41" s="14" t="s">
        <v>34</v>
      </c>
      <c r="D41" s="1" t="s">
        <v>9</v>
      </c>
      <c r="E41" s="14" t="s">
        <v>25</v>
      </c>
      <c r="F41" s="15">
        <v>0.64</v>
      </c>
      <c r="G41" s="15">
        <v>0</v>
      </c>
      <c r="H41" s="15">
        <v>4</v>
      </c>
      <c r="I41" s="15">
        <v>0.7</v>
      </c>
      <c r="J41" s="16">
        <v>0.34349000000000002</v>
      </c>
      <c r="K41" s="16">
        <v>1.1288400000000001</v>
      </c>
      <c r="L41" s="16">
        <f t="shared" si="3"/>
        <v>1.4723300000000001</v>
      </c>
      <c r="M41" s="17" t="s">
        <v>26</v>
      </c>
      <c r="N41" s="18">
        <v>100</v>
      </c>
      <c r="O41" s="18">
        <v>21</v>
      </c>
      <c r="P41" s="15">
        <v>0</v>
      </c>
      <c r="Q41" s="1" t="s">
        <v>33</v>
      </c>
      <c r="R41" s="20" t="str">
        <f t="shared" si="1"/>
        <v>horizontal</v>
      </c>
      <c r="S41" s="19">
        <v>0</v>
      </c>
      <c r="T41" s="19">
        <v>0</v>
      </c>
      <c r="U41" s="19">
        <v>0</v>
      </c>
      <c r="V41" s="20">
        <v>0</v>
      </c>
      <c r="W41" s="20">
        <v>-1</v>
      </c>
      <c r="Y41" s="18">
        <v>24</v>
      </c>
      <c r="Z41" s="15">
        <v>100</v>
      </c>
      <c r="AD41" s="21">
        <v>0.72181726527046097</v>
      </c>
      <c r="AE41" s="22" t="str">
        <f t="shared" si="2"/>
        <v>UC Berkeley Lab</v>
      </c>
      <c r="AF41" s="22" t="s">
        <v>14</v>
      </c>
    </row>
    <row r="42" spans="1:32" x14ac:dyDescent="0.2">
      <c r="A42" s="1">
        <v>100</v>
      </c>
      <c r="B42" s="13">
        <v>43509</v>
      </c>
      <c r="C42" s="14" t="s">
        <v>34</v>
      </c>
      <c r="D42" s="1" t="s">
        <v>9</v>
      </c>
      <c r="E42" s="14" t="s">
        <v>25</v>
      </c>
      <c r="F42" s="15">
        <v>0.64</v>
      </c>
      <c r="G42" s="15">
        <v>0</v>
      </c>
      <c r="H42" s="15">
        <v>4</v>
      </c>
      <c r="I42" s="15">
        <v>0.7</v>
      </c>
      <c r="J42" s="16">
        <v>0.33611000000000002</v>
      </c>
      <c r="K42" s="16">
        <v>1.1278699999999999</v>
      </c>
      <c r="L42" s="16">
        <f t="shared" si="3"/>
        <v>1.4639799999999998</v>
      </c>
      <c r="M42" s="17" t="s">
        <v>26</v>
      </c>
      <c r="N42" s="18">
        <v>100</v>
      </c>
      <c r="O42" s="18">
        <v>21</v>
      </c>
      <c r="P42" s="15">
        <v>0.2</v>
      </c>
      <c r="Q42" s="1" t="s">
        <v>1</v>
      </c>
      <c r="R42" s="20" t="str">
        <f t="shared" si="1"/>
        <v>horizontal</v>
      </c>
      <c r="S42" s="19">
        <v>-0.2</v>
      </c>
      <c r="T42" s="19">
        <v>0</v>
      </c>
      <c r="U42" s="19">
        <v>0</v>
      </c>
      <c r="V42" s="20">
        <v>0</v>
      </c>
      <c r="W42" s="20">
        <v>-1</v>
      </c>
      <c r="Y42" s="18">
        <v>24</v>
      </c>
      <c r="Z42" s="15">
        <v>100</v>
      </c>
      <c r="AD42" s="21">
        <v>0.42701267698038498</v>
      </c>
      <c r="AE42" s="22" t="str">
        <f t="shared" si="2"/>
        <v>UC Berkeley Lab</v>
      </c>
      <c r="AF42" s="22"/>
    </row>
    <row r="43" spans="1:32" x14ac:dyDescent="0.2">
      <c r="A43" s="1">
        <v>101</v>
      </c>
      <c r="B43" s="13">
        <v>43509</v>
      </c>
      <c r="C43" s="14" t="s">
        <v>34</v>
      </c>
      <c r="D43" s="1" t="s">
        <v>9</v>
      </c>
      <c r="E43" s="14" t="s">
        <v>25</v>
      </c>
      <c r="F43" s="15">
        <v>0.64</v>
      </c>
      <c r="G43" s="15">
        <v>0</v>
      </c>
      <c r="H43" s="15">
        <v>4</v>
      </c>
      <c r="I43" s="15">
        <v>0.7</v>
      </c>
      <c r="J43" s="16">
        <v>0.33650999999999998</v>
      </c>
      <c r="K43" s="16">
        <v>1.1377999999999999</v>
      </c>
      <c r="L43" s="16">
        <f t="shared" si="3"/>
        <v>1.47431</v>
      </c>
      <c r="M43" s="17" t="s">
        <v>26</v>
      </c>
      <c r="N43" s="18">
        <v>100</v>
      </c>
      <c r="O43" s="18">
        <v>21</v>
      </c>
      <c r="P43" s="15">
        <v>0.2</v>
      </c>
      <c r="Q43" s="1" t="s">
        <v>1</v>
      </c>
      <c r="R43" s="20" t="str">
        <f t="shared" si="1"/>
        <v>horizontal</v>
      </c>
      <c r="S43" s="19">
        <v>-0.2</v>
      </c>
      <c r="T43" s="19">
        <v>0</v>
      </c>
      <c r="U43" s="19">
        <v>0</v>
      </c>
      <c r="V43" s="20">
        <v>0</v>
      </c>
      <c r="W43" s="20">
        <v>-1</v>
      </c>
      <c r="Y43" s="18">
        <v>24</v>
      </c>
      <c r="Z43" s="15">
        <v>100</v>
      </c>
      <c r="AD43" s="21">
        <v>0.42186111448486702</v>
      </c>
      <c r="AE43" s="22" t="str">
        <f t="shared" si="2"/>
        <v>UC Berkeley Lab</v>
      </c>
      <c r="AF43" s="22"/>
    </row>
    <row r="44" spans="1:32" x14ac:dyDescent="0.2">
      <c r="A44" s="1">
        <v>102</v>
      </c>
      <c r="B44" s="13">
        <v>43509</v>
      </c>
      <c r="C44" s="14" t="s">
        <v>34</v>
      </c>
      <c r="D44" s="1" t="s">
        <v>9</v>
      </c>
      <c r="E44" s="14" t="s">
        <v>25</v>
      </c>
      <c r="F44" s="15">
        <v>0.64</v>
      </c>
      <c r="G44" s="15">
        <v>0</v>
      </c>
      <c r="H44" s="15">
        <v>4</v>
      </c>
      <c r="I44" s="15">
        <v>0.7</v>
      </c>
      <c r="J44" s="16">
        <v>0.33846999999999999</v>
      </c>
      <c r="K44" s="16">
        <v>1.13103</v>
      </c>
      <c r="L44" s="16">
        <f t="shared" si="3"/>
        <v>1.4695</v>
      </c>
      <c r="M44" s="17" t="s">
        <v>26</v>
      </c>
      <c r="N44" s="18">
        <v>100</v>
      </c>
      <c r="O44" s="18">
        <v>21</v>
      </c>
      <c r="P44" s="15">
        <v>0.3</v>
      </c>
      <c r="Q44" s="1" t="s">
        <v>1</v>
      </c>
      <c r="R44" s="20" t="str">
        <f t="shared" si="1"/>
        <v>horizontal</v>
      </c>
      <c r="S44" s="19">
        <v>-0.3</v>
      </c>
      <c r="T44" s="19">
        <v>0</v>
      </c>
      <c r="U44" s="19">
        <v>0</v>
      </c>
      <c r="V44" s="20">
        <v>0</v>
      </c>
      <c r="W44" s="20">
        <v>-1</v>
      </c>
      <c r="Y44" s="18">
        <v>24</v>
      </c>
      <c r="Z44" s="15">
        <v>100</v>
      </c>
      <c r="AD44" s="21">
        <v>0.39234094108489997</v>
      </c>
      <c r="AE44" s="22" t="str">
        <f t="shared" si="2"/>
        <v>UC Berkeley Lab</v>
      </c>
      <c r="AF44" s="22"/>
    </row>
    <row r="45" spans="1:32" x14ac:dyDescent="0.2">
      <c r="A45" s="1">
        <v>103</v>
      </c>
      <c r="B45" s="13">
        <v>43509</v>
      </c>
      <c r="C45" s="14" t="s">
        <v>34</v>
      </c>
      <c r="D45" s="1" t="s">
        <v>9</v>
      </c>
      <c r="E45" s="14" t="s">
        <v>25</v>
      </c>
      <c r="F45" s="15">
        <v>0.64</v>
      </c>
      <c r="G45" s="15">
        <v>0</v>
      </c>
      <c r="H45" s="15">
        <v>4</v>
      </c>
      <c r="I45" s="15">
        <v>0.7</v>
      </c>
      <c r="J45" s="16">
        <v>0.3412</v>
      </c>
      <c r="K45" s="16">
        <v>1.1351899999999999</v>
      </c>
      <c r="L45" s="16">
        <f t="shared" si="3"/>
        <v>1.4763899999999999</v>
      </c>
      <c r="M45" s="17" t="s">
        <v>26</v>
      </c>
      <c r="N45" s="18">
        <v>100</v>
      </c>
      <c r="O45" s="18">
        <v>21</v>
      </c>
      <c r="P45" s="15">
        <v>0.3</v>
      </c>
      <c r="Q45" s="1" t="s">
        <v>1</v>
      </c>
      <c r="R45" s="20" t="str">
        <f t="shared" si="1"/>
        <v>horizontal</v>
      </c>
      <c r="S45" s="19">
        <v>-0.3</v>
      </c>
      <c r="T45" s="19">
        <v>0</v>
      </c>
      <c r="U45" s="19">
        <v>0</v>
      </c>
      <c r="V45" s="20">
        <v>0</v>
      </c>
      <c r="W45" s="20">
        <v>-1</v>
      </c>
      <c r="Y45" s="18">
        <v>24</v>
      </c>
      <c r="Z45" s="15">
        <v>100</v>
      </c>
      <c r="AD45" s="21">
        <v>0.36719233678931601</v>
      </c>
      <c r="AE45" s="22" t="str">
        <f t="shared" si="2"/>
        <v>UC Berkeley Lab</v>
      </c>
      <c r="AF45" s="22"/>
    </row>
    <row r="46" spans="1:32" x14ac:dyDescent="0.2">
      <c r="A46" s="1">
        <v>104</v>
      </c>
      <c r="B46" s="13">
        <v>43509</v>
      </c>
      <c r="C46" s="14" t="s">
        <v>34</v>
      </c>
      <c r="D46" s="1" t="s">
        <v>9</v>
      </c>
      <c r="E46" s="14" t="s">
        <v>25</v>
      </c>
      <c r="F46" s="15">
        <v>0.64</v>
      </c>
      <c r="G46" s="15">
        <v>0</v>
      </c>
      <c r="H46" s="15">
        <v>4</v>
      </c>
      <c r="I46" s="15">
        <v>0.7</v>
      </c>
      <c r="J46" s="16">
        <v>0.33738000000000001</v>
      </c>
      <c r="K46" s="16">
        <v>1.1224799999999999</v>
      </c>
      <c r="L46" s="16">
        <f t="shared" si="3"/>
        <v>1.4598599999999999</v>
      </c>
      <c r="M46" s="17" t="s">
        <v>26</v>
      </c>
      <c r="N46" s="18">
        <v>100</v>
      </c>
      <c r="O46" s="18">
        <v>21</v>
      </c>
      <c r="P46" s="15">
        <v>0.3</v>
      </c>
      <c r="Q46" s="1" t="s">
        <v>1</v>
      </c>
      <c r="R46" s="20" t="str">
        <f t="shared" si="1"/>
        <v>horizontal</v>
      </c>
      <c r="S46" s="19">
        <v>-0.3</v>
      </c>
      <c r="T46" s="19">
        <v>0</v>
      </c>
      <c r="U46" s="19">
        <v>0</v>
      </c>
      <c r="V46" s="20">
        <v>0</v>
      </c>
      <c r="W46" s="20">
        <v>-1</v>
      </c>
      <c r="Y46" s="18">
        <v>24</v>
      </c>
      <c r="Z46" s="15">
        <v>100</v>
      </c>
      <c r="AD46" s="21">
        <v>0.37200086383553299</v>
      </c>
      <c r="AE46" s="22" t="str">
        <f t="shared" si="2"/>
        <v>UC Berkeley Lab</v>
      </c>
      <c r="AF46" s="22"/>
    </row>
    <row r="47" spans="1:32" x14ac:dyDescent="0.2">
      <c r="A47" s="1">
        <v>105</v>
      </c>
      <c r="B47" s="13">
        <v>43509</v>
      </c>
      <c r="C47" s="14" t="s">
        <v>34</v>
      </c>
      <c r="D47" s="1" t="s">
        <v>9</v>
      </c>
      <c r="E47" s="14" t="s">
        <v>25</v>
      </c>
      <c r="F47" s="15">
        <v>0.64</v>
      </c>
      <c r="G47" s="15">
        <v>0</v>
      </c>
      <c r="H47" s="15">
        <v>4</v>
      </c>
      <c r="I47" s="15">
        <v>0.7</v>
      </c>
      <c r="J47" s="16">
        <v>0.33932000000000001</v>
      </c>
      <c r="K47" s="16">
        <v>1.13859</v>
      </c>
      <c r="L47" s="16">
        <f t="shared" si="3"/>
        <v>1.4779100000000001</v>
      </c>
      <c r="M47" s="17" t="s">
        <v>26</v>
      </c>
      <c r="N47" s="18">
        <v>100</v>
      </c>
      <c r="O47" s="18">
        <v>21</v>
      </c>
      <c r="P47" s="15">
        <v>0.1</v>
      </c>
      <c r="Q47" s="1" t="s">
        <v>1</v>
      </c>
      <c r="R47" s="20" t="str">
        <f t="shared" si="1"/>
        <v>horizontal</v>
      </c>
      <c r="S47" s="19">
        <v>-0.1</v>
      </c>
      <c r="T47" s="19">
        <v>0</v>
      </c>
      <c r="U47" s="19">
        <v>0</v>
      </c>
      <c r="V47" s="20">
        <v>0</v>
      </c>
      <c r="W47" s="20">
        <v>-1</v>
      </c>
      <c r="Y47" s="18">
        <v>24</v>
      </c>
      <c r="Z47" s="15">
        <v>100</v>
      </c>
      <c r="AD47" s="21">
        <v>0.51489894795347102</v>
      </c>
      <c r="AE47" s="22" t="str">
        <f t="shared" si="2"/>
        <v>UC Berkeley Lab</v>
      </c>
      <c r="AF47" s="22"/>
    </row>
    <row r="48" spans="1:32" x14ac:dyDescent="0.2">
      <c r="A48" s="1">
        <v>106</v>
      </c>
      <c r="B48" s="13">
        <v>43509</v>
      </c>
      <c r="C48" s="14" t="s">
        <v>34</v>
      </c>
      <c r="D48" s="1" t="s">
        <v>9</v>
      </c>
      <c r="E48" s="14" t="s">
        <v>25</v>
      </c>
      <c r="F48" s="15">
        <v>0.64</v>
      </c>
      <c r="G48" s="15">
        <v>0</v>
      </c>
      <c r="H48" s="15">
        <v>4</v>
      </c>
      <c r="I48" s="15">
        <v>0.7</v>
      </c>
      <c r="J48" s="16">
        <v>0.33806000000000003</v>
      </c>
      <c r="K48" s="16">
        <v>1.12782</v>
      </c>
      <c r="L48" s="16">
        <f t="shared" si="3"/>
        <v>1.4658800000000001</v>
      </c>
      <c r="M48" s="17" t="s">
        <v>26</v>
      </c>
      <c r="N48" s="18">
        <v>100</v>
      </c>
      <c r="O48" s="18">
        <v>21</v>
      </c>
      <c r="P48" s="15">
        <v>0.1</v>
      </c>
      <c r="Q48" s="1" t="s">
        <v>1</v>
      </c>
      <c r="R48" s="20" t="str">
        <f t="shared" si="1"/>
        <v>horizontal</v>
      </c>
      <c r="S48" s="19">
        <v>-0.1</v>
      </c>
      <c r="T48" s="19">
        <v>0</v>
      </c>
      <c r="U48" s="19">
        <v>0</v>
      </c>
      <c r="V48" s="20">
        <v>0</v>
      </c>
      <c r="W48" s="20">
        <v>-1</v>
      </c>
      <c r="Y48" s="18">
        <v>24</v>
      </c>
      <c r="Z48" s="15">
        <v>100</v>
      </c>
      <c r="AD48" s="21">
        <v>0.57516381480745105</v>
      </c>
      <c r="AE48" s="22" t="str">
        <f t="shared" si="2"/>
        <v>UC Berkeley Lab</v>
      </c>
      <c r="AF48" s="22"/>
    </row>
    <row r="49" spans="1:32" x14ac:dyDescent="0.2">
      <c r="A49" s="1">
        <v>107</v>
      </c>
      <c r="B49" s="13">
        <v>43509</v>
      </c>
      <c r="C49" s="14" t="s">
        <v>34</v>
      </c>
      <c r="D49" s="1" t="s">
        <v>9</v>
      </c>
      <c r="E49" s="14" t="s">
        <v>25</v>
      </c>
      <c r="F49" s="15">
        <v>0.64</v>
      </c>
      <c r="G49" s="15">
        <v>0</v>
      </c>
      <c r="H49" s="15">
        <v>4</v>
      </c>
      <c r="I49" s="15">
        <v>0.7</v>
      </c>
      <c r="J49" s="16">
        <v>0.33961999999999998</v>
      </c>
      <c r="K49" s="16">
        <v>1.12656</v>
      </c>
      <c r="L49" s="16">
        <f t="shared" si="3"/>
        <v>1.46618</v>
      </c>
      <c r="M49" s="17" t="s">
        <v>26</v>
      </c>
      <c r="N49" s="18">
        <v>100</v>
      </c>
      <c r="O49" s="18">
        <v>21</v>
      </c>
      <c r="P49" s="15">
        <v>0.1</v>
      </c>
      <c r="Q49" s="1" t="s">
        <v>1</v>
      </c>
      <c r="R49" s="20" t="str">
        <f t="shared" si="1"/>
        <v>horizontal</v>
      </c>
      <c r="S49" s="19">
        <v>-0.1</v>
      </c>
      <c r="T49" s="19">
        <v>0</v>
      </c>
      <c r="U49" s="19">
        <v>0</v>
      </c>
      <c r="V49" s="20">
        <v>0</v>
      </c>
      <c r="W49" s="20">
        <v>-1</v>
      </c>
      <c r="Y49" s="18">
        <v>24</v>
      </c>
      <c r="Z49" s="15">
        <v>100</v>
      </c>
      <c r="AD49" s="21">
        <v>0.52114266547908406</v>
      </c>
      <c r="AE49" s="22" t="str">
        <f t="shared" si="2"/>
        <v>UC Berkeley Lab</v>
      </c>
      <c r="AF49" s="22"/>
    </row>
    <row r="50" spans="1:32" x14ac:dyDescent="0.2">
      <c r="A50" s="1">
        <v>109</v>
      </c>
      <c r="B50" s="13">
        <v>43509</v>
      </c>
      <c r="C50" s="14" t="s">
        <v>34</v>
      </c>
      <c r="D50" s="1" t="s">
        <v>9</v>
      </c>
      <c r="E50" s="14" t="s">
        <v>25</v>
      </c>
      <c r="F50" s="15">
        <v>0.64</v>
      </c>
      <c r="G50" s="15">
        <v>0</v>
      </c>
      <c r="H50" s="15">
        <v>4</v>
      </c>
      <c r="I50" s="15">
        <v>0.7</v>
      </c>
      <c r="J50" s="16">
        <v>0.33954000000000001</v>
      </c>
      <c r="K50" s="16">
        <v>1.1335999999999999</v>
      </c>
      <c r="L50" s="16">
        <f t="shared" si="3"/>
        <v>1.4731399999999999</v>
      </c>
      <c r="M50" s="17" t="s">
        <v>26</v>
      </c>
      <c r="N50" s="18">
        <v>100</v>
      </c>
      <c r="O50" s="18">
        <v>21</v>
      </c>
      <c r="P50" s="15">
        <v>0.1</v>
      </c>
      <c r="Q50" s="1" t="s">
        <v>2</v>
      </c>
      <c r="R50" s="20" t="str">
        <f t="shared" si="1"/>
        <v>horizontal</v>
      </c>
      <c r="S50" s="19">
        <v>0.1</v>
      </c>
      <c r="T50" s="19">
        <v>0</v>
      </c>
      <c r="U50" s="19">
        <v>0</v>
      </c>
      <c r="V50" s="20">
        <v>0</v>
      </c>
      <c r="W50" s="20">
        <v>-1</v>
      </c>
      <c r="Y50" s="18">
        <v>24</v>
      </c>
      <c r="Z50" s="15">
        <v>100</v>
      </c>
      <c r="AD50" s="21">
        <v>0.93443170402096598</v>
      </c>
      <c r="AE50" s="22" t="str">
        <f t="shared" si="2"/>
        <v>UC Berkeley Lab</v>
      </c>
      <c r="AF50" s="22"/>
    </row>
    <row r="51" spans="1:32" x14ac:dyDescent="0.2">
      <c r="A51" s="1">
        <v>110</v>
      </c>
      <c r="B51" s="13">
        <v>43509</v>
      </c>
      <c r="C51" s="14" t="s">
        <v>34</v>
      </c>
      <c r="D51" s="1" t="s">
        <v>9</v>
      </c>
      <c r="E51" s="14" t="s">
        <v>25</v>
      </c>
      <c r="F51" s="15">
        <v>0.64</v>
      </c>
      <c r="G51" s="15">
        <v>0</v>
      </c>
      <c r="H51" s="15">
        <v>4</v>
      </c>
      <c r="I51" s="15">
        <v>0.7</v>
      </c>
      <c r="J51" s="16">
        <v>0.33854000000000001</v>
      </c>
      <c r="K51" s="16">
        <v>1.1421600000000001</v>
      </c>
      <c r="L51" s="16">
        <f t="shared" si="3"/>
        <v>1.4807000000000001</v>
      </c>
      <c r="M51" s="17" t="s">
        <v>26</v>
      </c>
      <c r="N51" s="18">
        <v>100</v>
      </c>
      <c r="O51" s="18">
        <v>21</v>
      </c>
      <c r="P51" s="15">
        <v>0</v>
      </c>
      <c r="Q51" s="1" t="s">
        <v>33</v>
      </c>
      <c r="R51" s="20" t="str">
        <f t="shared" si="1"/>
        <v>horizontal</v>
      </c>
      <c r="S51" s="19">
        <v>0</v>
      </c>
      <c r="T51" s="19">
        <v>0</v>
      </c>
      <c r="U51" s="19">
        <v>0</v>
      </c>
      <c r="V51" s="20">
        <v>0</v>
      </c>
      <c r="W51" s="20">
        <v>-1</v>
      </c>
      <c r="Y51" s="18">
        <v>24</v>
      </c>
      <c r="Z51" s="15">
        <v>100</v>
      </c>
      <c r="AD51" s="21">
        <v>0.71664076515834996</v>
      </c>
      <c r="AE51" s="22" t="str">
        <f t="shared" si="2"/>
        <v>UC Berkeley Lab</v>
      </c>
      <c r="AF51" s="22"/>
    </row>
    <row r="52" spans="1:32" x14ac:dyDescent="0.2">
      <c r="A52" s="1">
        <v>111</v>
      </c>
      <c r="B52" s="13">
        <v>43509</v>
      </c>
      <c r="C52" s="14" t="s">
        <v>34</v>
      </c>
      <c r="D52" s="1" t="s">
        <v>9</v>
      </c>
      <c r="E52" s="14" t="s">
        <v>25</v>
      </c>
      <c r="F52" s="15">
        <v>0.64</v>
      </c>
      <c r="G52" s="15">
        <v>0</v>
      </c>
      <c r="H52" s="15">
        <v>4</v>
      </c>
      <c r="I52" s="15">
        <v>0.7</v>
      </c>
      <c r="J52" s="16">
        <v>0.33965000000000001</v>
      </c>
      <c r="K52" s="16">
        <v>1.1359399999999999</v>
      </c>
      <c r="L52" s="16">
        <f t="shared" si="3"/>
        <v>1.47559</v>
      </c>
      <c r="M52" s="17" t="s">
        <v>26</v>
      </c>
      <c r="N52" s="18">
        <v>100</v>
      </c>
      <c r="O52" s="18">
        <v>21</v>
      </c>
      <c r="P52" s="15">
        <v>0</v>
      </c>
      <c r="Q52" s="1" t="s">
        <v>33</v>
      </c>
      <c r="R52" s="20" t="str">
        <f t="shared" si="1"/>
        <v>horizontal</v>
      </c>
      <c r="S52" s="19">
        <v>0</v>
      </c>
      <c r="T52" s="19">
        <v>0</v>
      </c>
      <c r="U52" s="19">
        <v>0</v>
      </c>
      <c r="V52" s="20">
        <v>0</v>
      </c>
      <c r="W52" s="20">
        <v>-1</v>
      </c>
      <c r="Y52" s="18">
        <v>24</v>
      </c>
      <c r="Z52" s="15">
        <v>100</v>
      </c>
      <c r="AD52" s="21">
        <v>0.71877248111907099</v>
      </c>
      <c r="AE52" s="22" t="str">
        <f t="shared" si="2"/>
        <v>UC Berkeley Lab</v>
      </c>
      <c r="AF52" s="22"/>
    </row>
    <row r="53" spans="1:32" x14ac:dyDescent="0.2">
      <c r="A53" s="1">
        <v>112</v>
      </c>
      <c r="B53" s="13">
        <v>43532</v>
      </c>
      <c r="C53" s="14" t="s">
        <v>34</v>
      </c>
      <c r="D53" s="14" t="s">
        <v>10</v>
      </c>
      <c r="E53" s="14" t="s">
        <v>25</v>
      </c>
      <c r="F53" s="15">
        <v>0.5</v>
      </c>
      <c r="G53" s="15">
        <v>0</v>
      </c>
      <c r="H53" s="15">
        <v>0.8</v>
      </c>
      <c r="I53" s="15">
        <v>0.5</v>
      </c>
      <c r="M53" s="17" t="s">
        <v>27</v>
      </c>
      <c r="N53" s="18">
        <v>196</v>
      </c>
      <c r="O53" s="18">
        <v>21</v>
      </c>
      <c r="P53" s="15">
        <v>0</v>
      </c>
      <c r="Q53" s="1" t="s">
        <v>33</v>
      </c>
      <c r="R53" s="20" t="str">
        <f t="shared" si="1"/>
        <v>horizontal</v>
      </c>
      <c r="S53" s="19">
        <v>0</v>
      </c>
      <c r="T53" s="19">
        <v>0</v>
      </c>
      <c r="U53" s="19">
        <v>0</v>
      </c>
      <c r="V53" s="20">
        <v>0</v>
      </c>
      <c r="W53" s="20">
        <v>-1</v>
      </c>
      <c r="Y53" s="18">
        <v>12</v>
      </c>
      <c r="Z53" s="15">
        <v>100</v>
      </c>
      <c r="AD53" s="21">
        <v>3.32337657178399</v>
      </c>
      <c r="AE53" s="22" t="str">
        <f t="shared" si="2"/>
        <v>UC Berkeley Lab</v>
      </c>
      <c r="AF53" s="22" t="s">
        <v>30</v>
      </c>
    </row>
    <row r="54" spans="1:32" x14ac:dyDescent="0.2">
      <c r="A54" s="1">
        <v>113</v>
      </c>
      <c r="B54" s="13">
        <v>43532</v>
      </c>
      <c r="C54" s="14" t="s">
        <v>34</v>
      </c>
      <c r="D54" s="14" t="s">
        <v>10</v>
      </c>
      <c r="E54" s="14" t="s">
        <v>25</v>
      </c>
      <c r="F54" s="15">
        <v>0.5</v>
      </c>
      <c r="G54" s="15">
        <v>0</v>
      </c>
      <c r="H54" s="15">
        <v>0.8</v>
      </c>
      <c r="I54" s="15">
        <v>0.5</v>
      </c>
      <c r="M54" s="17" t="s">
        <v>27</v>
      </c>
      <c r="N54" s="18">
        <v>196</v>
      </c>
      <c r="O54" s="18">
        <v>21</v>
      </c>
      <c r="P54" s="15">
        <v>0</v>
      </c>
      <c r="Q54" s="1" t="s">
        <v>33</v>
      </c>
      <c r="R54" s="20" t="str">
        <f t="shared" si="1"/>
        <v>horizontal</v>
      </c>
      <c r="S54" s="19">
        <v>0</v>
      </c>
      <c r="T54" s="19">
        <v>0</v>
      </c>
      <c r="U54" s="19">
        <v>0</v>
      </c>
      <c r="V54" s="20">
        <v>0</v>
      </c>
      <c r="W54" s="20">
        <v>-1</v>
      </c>
      <c r="Y54" s="18">
        <v>12</v>
      </c>
      <c r="Z54" s="15">
        <v>100</v>
      </c>
      <c r="AD54" s="21">
        <v>3.2707107021873898</v>
      </c>
      <c r="AE54" s="22" t="str">
        <f t="shared" si="2"/>
        <v>UC Berkeley Lab</v>
      </c>
      <c r="AF54" s="22"/>
    </row>
    <row r="55" spans="1:32" x14ac:dyDescent="0.2">
      <c r="A55" s="1">
        <v>114</v>
      </c>
      <c r="B55" s="13">
        <v>43532</v>
      </c>
      <c r="C55" s="14" t="s">
        <v>34</v>
      </c>
      <c r="D55" s="14" t="s">
        <v>10</v>
      </c>
      <c r="E55" s="14" t="s">
        <v>25</v>
      </c>
      <c r="F55" s="15">
        <v>0.5</v>
      </c>
      <c r="G55" s="15">
        <v>0</v>
      </c>
      <c r="H55" s="15">
        <v>0.8</v>
      </c>
      <c r="I55" s="15">
        <v>0.5</v>
      </c>
      <c r="M55" s="17" t="s">
        <v>27</v>
      </c>
      <c r="N55" s="18">
        <v>196</v>
      </c>
      <c r="O55" s="18">
        <v>21</v>
      </c>
      <c r="P55" s="15">
        <v>0</v>
      </c>
      <c r="Q55" s="1" t="s">
        <v>33</v>
      </c>
      <c r="R55" s="20" t="str">
        <f t="shared" si="1"/>
        <v>horizontal</v>
      </c>
      <c r="S55" s="19">
        <v>0</v>
      </c>
      <c r="T55" s="19">
        <v>0</v>
      </c>
      <c r="U55" s="19">
        <v>0</v>
      </c>
      <c r="V55" s="20">
        <v>0</v>
      </c>
      <c r="W55" s="20">
        <v>-1</v>
      </c>
      <c r="Y55" s="18">
        <v>12</v>
      </c>
      <c r="Z55" s="15">
        <v>100</v>
      </c>
      <c r="AD55" s="21">
        <v>3.2141746438498999</v>
      </c>
      <c r="AE55" s="22" t="str">
        <f t="shared" si="2"/>
        <v>UC Berkeley Lab</v>
      </c>
      <c r="AF55" s="22"/>
    </row>
    <row r="56" spans="1:32" x14ac:dyDescent="0.2">
      <c r="A56" s="1">
        <v>115</v>
      </c>
      <c r="B56" s="13">
        <v>43532</v>
      </c>
      <c r="C56" s="14" t="s">
        <v>34</v>
      </c>
      <c r="D56" s="14" t="s">
        <v>10</v>
      </c>
      <c r="E56" s="14" t="s">
        <v>25</v>
      </c>
      <c r="F56" s="15">
        <v>0.5</v>
      </c>
      <c r="G56" s="15">
        <v>0</v>
      </c>
      <c r="H56" s="15">
        <v>0.8</v>
      </c>
      <c r="I56" s="15">
        <v>0.5</v>
      </c>
      <c r="M56" s="17" t="s">
        <v>27</v>
      </c>
      <c r="N56" s="18">
        <v>196</v>
      </c>
      <c r="O56" s="18">
        <v>21</v>
      </c>
      <c r="P56" s="15">
        <v>0.1</v>
      </c>
      <c r="Q56" s="1" t="s">
        <v>2</v>
      </c>
      <c r="R56" s="20" t="str">
        <f t="shared" si="1"/>
        <v>horizontal</v>
      </c>
      <c r="S56" s="19">
        <v>0.1</v>
      </c>
      <c r="T56" s="19">
        <v>0</v>
      </c>
      <c r="U56" s="19">
        <v>0</v>
      </c>
      <c r="V56" s="20">
        <v>0</v>
      </c>
      <c r="W56" s="20">
        <v>-1</v>
      </c>
      <c r="Y56" s="18">
        <v>12</v>
      </c>
      <c r="Z56" s="15">
        <v>100</v>
      </c>
      <c r="AD56" s="21">
        <v>3.5362820349448398</v>
      </c>
      <c r="AE56" s="22" t="str">
        <f t="shared" si="2"/>
        <v>UC Berkeley Lab</v>
      </c>
      <c r="AF56" s="22"/>
    </row>
    <row r="57" spans="1:32" x14ac:dyDescent="0.2">
      <c r="A57" s="1">
        <v>116</v>
      </c>
      <c r="B57" s="13">
        <v>43532</v>
      </c>
      <c r="C57" s="14" t="s">
        <v>34</v>
      </c>
      <c r="D57" s="14" t="s">
        <v>10</v>
      </c>
      <c r="E57" s="14" t="s">
        <v>25</v>
      </c>
      <c r="F57" s="15">
        <v>0.5</v>
      </c>
      <c r="G57" s="15">
        <v>0</v>
      </c>
      <c r="H57" s="15">
        <v>0.8</v>
      </c>
      <c r="I57" s="15">
        <v>0.5</v>
      </c>
      <c r="M57" s="17" t="s">
        <v>27</v>
      </c>
      <c r="N57" s="18">
        <v>196</v>
      </c>
      <c r="O57" s="18">
        <v>21</v>
      </c>
      <c r="P57" s="15">
        <v>0.1</v>
      </c>
      <c r="Q57" s="1" t="s">
        <v>2</v>
      </c>
      <c r="R57" s="20" t="str">
        <f t="shared" si="1"/>
        <v>horizontal</v>
      </c>
      <c r="S57" s="19">
        <v>0.1</v>
      </c>
      <c r="T57" s="19">
        <v>0</v>
      </c>
      <c r="U57" s="19">
        <v>0</v>
      </c>
      <c r="V57" s="20">
        <v>0</v>
      </c>
      <c r="W57" s="20">
        <v>-1</v>
      </c>
      <c r="Y57" s="18">
        <v>12</v>
      </c>
      <c r="Z57" s="15">
        <v>100</v>
      </c>
      <c r="AD57" s="21">
        <v>3.86664628595934</v>
      </c>
      <c r="AE57" s="22" t="str">
        <f t="shared" si="2"/>
        <v>UC Berkeley Lab</v>
      </c>
      <c r="AF57" s="22" t="s">
        <v>42</v>
      </c>
    </row>
    <row r="58" spans="1:32" x14ac:dyDescent="0.2">
      <c r="A58" s="1">
        <v>117</v>
      </c>
      <c r="B58" s="13">
        <v>43532</v>
      </c>
      <c r="C58" s="14" t="s">
        <v>34</v>
      </c>
      <c r="D58" s="14" t="s">
        <v>10</v>
      </c>
      <c r="E58" s="14" t="s">
        <v>25</v>
      </c>
      <c r="F58" s="15">
        <v>0.5</v>
      </c>
      <c r="G58" s="15">
        <v>0</v>
      </c>
      <c r="H58" s="15">
        <v>0.8</v>
      </c>
      <c r="I58" s="15">
        <v>0.5</v>
      </c>
      <c r="M58" s="17" t="s">
        <v>27</v>
      </c>
      <c r="N58" s="18">
        <v>196</v>
      </c>
      <c r="O58" s="18">
        <v>21</v>
      </c>
      <c r="P58" s="15">
        <v>0.1</v>
      </c>
      <c r="Q58" s="1" t="s">
        <v>2</v>
      </c>
      <c r="R58" s="20" t="str">
        <f t="shared" si="1"/>
        <v>horizontal</v>
      </c>
      <c r="S58" s="19">
        <v>0.1</v>
      </c>
      <c r="T58" s="19">
        <v>0</v>
      </c>
      <c r="U58" s="19">
        <v>0</v>
      </c>
      <c r="V58" s="20">
        <v>0</v>
      </c>
      <c r="W58" s="20">
        <v>-1</v>
      </c>
      <c r="Y58" s="18">
        <v>15</v>
      </c>
      <c r="Z58" s="15">
        <v>100</v>
      </c>
      <c r="AD58" s="21">
        <v>3.8028674840551999</v>
      </c>
      <c r="AE58" s="22" t="str">
        <f t="shared" si="2"/>
        <v>UC Berkeley Lab</v>
      </c>
      <c r="AF58" s="22" t="s">
        <v>17</v>
      </c>
    </row>
    <row r="59" spans="1:32" x14ac:dyDescent="0.2">
      <c r="A59" s="1">
        <v>118</v>
      </c>
      <c r="B59" s="13">
        <v>43532</v>
      </c>
      <c r="C59" s="14" t="s">
        <v>34</v>
      </c>
      <c r="D59" s="14" t="s">
        <v>10</v>
      </c>
      <c r="E59" s="14" t="s">
        <v>25</v>
      </c>
      <c r="F59" s="15">
        <v>0.5</v>
      </c>
      <c r="G59" s="15">
        <v>0</v>
      </c>
      <c r="H59" s="15">
        <v>0.8</v>
      </c>
      <c r="I59" s="15">
        <v>0.5</v>
      </c>
      <c r="M59" s="17" t="s">
        <v>27</v>
      </c>
      <c r="N59" s="18">
        <v>196</v>
      </c>
      <c r="O59" s="18">
        <v>21</v>
      </c>
      <c r="P59" s="15">
        <v>0.1</v>
      </c>
      <c r="Q59" s="1" t="s">
        <v>2</v>
      </c>
      <c r="R59" s="20" t="str">
        <f t="shared" si="1"/>
        <v>horizontal</v>
      </c>
      <c r="S59" s="19">
        <v>0.1</v>
      </c>
      <c r="T59" s="19">
        <v>0</v>
      </c>
      <c r="U59" s="19">
        <v>0</v>
      </c>
      <c r="V59" s="20">
        <v>0</v>
      </c>
      <c r="W59" s="20">
        <v>-1</v>
      </c>
      <c r="Y59" s="18">
        <v>15</v>
      </c>
      <c r="Z59" s="15">
        <v>100</v>
      </c>
      <c r="AD59" s="21">
        <v>3.6948806622186199</v>
      </c>
      <c r="AE59" s="22" t="str">
        <f t="shared" si="2"/>
        <v>UC Berkeley Lab</v>
      </c>
      <c r="AF59" s="22"/>
    </row>
    <row r="60" spans="1:32" x14ac:dyDescent="0.2">
      <c r="A60" s="1">
        <v>119</v>
      </c>
      <c r="B60" s="13">
        <v>43532</v>
      </c>
      <c r="C60" s="14" t="s">
        <v>34</v>
      </c>
      <c r="D60" s="14" t="s">
        <v>10</v>
      </c>
      <c r="E60" s="14" t="s">
        <v>25</v>
      </c>
      <c r="F60" s="15">
        <v>0.5</v>
      </c>
      <c r="G60" s="15">
        <v>0</v>
      </c>
      <c r="H60" s="15">
        <v>0.8</v>
      </c>
      <c r="I60" s="15">
        <v>0.5</v>
      </c>
      <c r="M60" s="17" t="s">
        <v>27</v>
      </c>
      <c r="N60" s="18">
        <v>196</v>
      </c>
      <c r="O60" s="18">
        <v>21</v>
      </c>
      <c r="P60" s="15">
        <v>0.2</v>
      </c>
      <c r="Q60" s="1" t="s">
        <v>2</v>
      </c>
      <c r="R60" s="20" t="str">
        <f t="shared" si="1"/>
        <v>horizontal</v>
      </c>
      <c r="S60" s="19">
        <v>0.2</v>
      </c>
      <c r="T60" s="19">
        <v>0</v>
      </c>
      <c r="U60" s="19">
        <v>0</v>
      </c>
      <c r="V60" s="20">
        <v>0</v>
      </c>
      <c r="W60" s="20">
        <v>-1</v>
      </c>
      <c r="Y60" s="18">
        <v>15</v>
      </c>
      <c r="Z60" s="15">
        <v>100</v>
      </c>
      <c r="AD60" s="21">
        <v>3.9977393974131301</v>
      </c>
      <c r="AE60" s="22" t="str">
        <f t="shared" si="2"/>
        <v>UC Berkeley Lab</v>
      </c>
      <c r="AF60" s="22"/>
    </row>
    <row r="61" spans="1:32" x14ac:dyDescent="0.2">
      <c r="A61" s="1">
        <v>120</v>
      </c>
      <c r="B61" s="13">
        <v>43532</v>
      </c>
      <c r="C61" s="14" t="s">
        <v>34</v>
      </c>
      <c r="D61" s="14" t="s">
        <v>10</v>
      </c>
      <c r="E61" s="14" t="s">
        <v>25</v>
      </c>
      <c r="F61" s="15">
        <v>0.5</v>
      </c>
      <c r="G61" s="15">
        <v>0</v>
      </c>
      <c r="H61" s="15">
        <v>0.8</v>
      </c>
      <c r="I61" s="15">
        <v>0.5</v>
      </c>
      <c r="M61" s="17" t="s">
        <v>27</v>
      </c>
      <c r="N61" s="18">
        <v>196</v>
      </c>
      <c r="O61" s="18">
        <v>21</v>
      </c>
      <c r="P61" s="15">
        <v>0.2</v>
      </c>
      <c r="Q61" s="1" t="s">
        <v>2</v>
      </c>
      <c r="R61" s="20" t="str">
        <f t="shared" si="1"/>
        <v>horizontal</v>
      </c>
      <c r="S61" s="19">
        <v>0.2</v>
      </c>
      <c r="T61" s="19">
        <v>0</v>
      </c>
      <c r="U61" s="19">
        <v>0</v>
      </c>
      <c r="V61" s="20">
        <v>0</v>
      </c>
      <c r="W61" s="20">
        <v>-1</v>
      </c>
      <c r="Y61" s="18">
        <v>15</v>
      </c>
      <c r="Z61" s="15">
        <v>100</v>
      </c>
      <c r="AD61" s="21">
        <v>3.7718730186020601</v>
      </c>
      <c r="AE61" s="22" t="str">
        <f t="shared" si="2"/>
        <v>UC Berkeley Lab</v>
      </c>
      <c r="AF61" s="22"/>
    </row>
    <row r="62" spans="1:32" x14ac:dyDescent="0.2">
      <c r="A62" s="1">
        <v>121</v>
      </c>
      <c r="B62" s="13">
        <v>43532</v>
      </c>
      <c r="C62" s="14" t="s">
        <v>34</v>
      </c>
      <c r="D62" s="14" t="s">
        <v>10</v>
      </c>
      <c r="E62" s="14" t="s">
        <v>25</v>
      </c>
      <c r="F62" s="15">
        <v>0.5</v>
      </c>
      <c r="G62" s="15">
        <v>0</v>
      </c>
      <c r="H62" s="15">
        <v>0.8</v>
      </c>
      <c r="I62" s="15">
        <v>0.5</v>
      </c>
      <c r="M62" s="17" t="s">
        <v>27</v>
      </c>
      <c r="N62" s="18">
        <v>196</v>
      </c>
      <c r="O62" s="18">
        <v>21</v>
      </c>
      <c r="P62" s="15">
        <v>0.2</v>
      </c>
      <c r="Q62" s="1" t="s">
        <v>2</v>
      </c>
      <c r="R62" s="20" t="str">
        <f t="shared" si="1"/>
        <v>horizontal</v>
      </c>
      <c r="S62" s="19">
        <v>0.2</v>
      </c>
      <c r="T62" s="19">
        <v>0</v>
      </c>
      <c r="U62" s="19">
        <v>0</v>
      </c>
      <c r="V62" s="20">
        <v>0</v>
      </c>
      <c r="W62" s="20">
        <v>-1</v>
      </c>
      <c r="Y62" s="18">
        <v>15</v>
      </c>
      <c r="Z62" s="15">
        <v>100</v>
      </c>
      <c r="AD62" s="21">
        <v>3.85421181521912</v>
      </c>
      <c r="AE62" s="22" t="str">
        <f t="shared" si="2"/>
        <v>UC Berkeley Lab</v>
      </c>
      <c r="AF62" s="22"/>
    </row>
    <row r="63" spans="1:32" x14ac:dyDescent="0.2">
      <c r="A63" s="1">
        <v>122</v>
      </c>
      <c r="B63" s="13">
        <v>43532</v>
      </c>
      <c r="C63" s="14" t="s">
        <v>34</v>
      </c>
      <c r="D63" s="14" t="s">
        <v>10</v>
      </c>
      <c r="E63" s="14" t="s">
        <v>25</v>
      </c>
      <c r="F63" s="15">
        <v>0.5</v>
      </c>
      <c r="G63" s="15">
        <v>0</v>
      </c>
      <c r="H63" s="15">
        <v>0.8</v>
      </c>
      <c r="I63" s="15">
        <v>0.5</v>
      </c>
      <c r="M63" s="17" t="s">
        <v>27</v>
      </c>
      <c r="N63" s="18">
        <v>196</v>
      </c>
      <c r="O63" s="18">
        <v>21</v>
      </c>
      <c r="P63" s="15">
        <v>0.3</v>
      </c>
      <c r="Q63" s="1" t="s">
        <v>2</v>
      </c>
      <c r="R63" s="20" t="str">
        <f t="shared" si="1"/>
        <v>horizontal</v>
      </c>
      <c r="S63" s="19">
        <v>0.3</v>
      </c>
      <c r="T63" s="19">
        <v>0</v>
      </c>
      <c r="U63" s="19">
        <v>0</v>
      </c>
      <c r="V63" s="20">
        <v>0</v>
      </c>
      <c r="W63" s="20">
        <v>-1</v>
      </c>
      <c r="Y63" s="18">
        <v>15</v>
      </c>
      <c r="Z63" s="15">
        <v>100</v>
      </c>
      <c r="AD63" s="21">
        <v>5.0393240711543097</v>
      </c>
      <c r="AE63" s="22" t="str">
        <f t="shared" si="2"/>
        <v>UC Berkeley Lab</v>
      </c>
      <c r="AF63" s="22"/>
    </row>
    <row r="64" spans="1:32" x14ac:dyDescent="0.2">
      <c r="A64" s="1">
        <v>123</v>
      </c>
      <c r="B64" s="13">
        <v>43532</v>
      </c>
      <c r="C64" s="14" t="s">
        <v>34</v>
      </c>
      <c r="D64" s="14" t="s">
        <v>10</v>
      </c>
      <c r="E64" s="14" t="s">
        <v>25</v>
      </c>
      <c r="F64" s="15">
        <v>0.5</v>
      </c>
      <c r="G64" s="15">
        <v>0</v>
      </c>
      <c r="H64" s="15">
        <v>0.8</v>
      </c>
      <c r="I64" s="15">
        <v>0.5</v>
      </c>
      <c r="M64" s="17" t="s">
        <v>27</v>
      </c>
      <c r="N64" s="18">
        <v>196</v>
      </c>
      <c r="O64" s="18">
        <v>21</v>
      </c>
      <c r="P64" s="15">
        <v>0.3</v>
      </c>
      <c r="Q64" s="1" t="s">
        <v>2</v>
      </c>
      <c r="R64" s="20" t="str">
        <f t="shared" si="1"/>
        <v>horizontal</v>
      </c>
      <c r="S64" s="19">
        <v>0.3</v>
      </c>
      <c r="T64" s="19">
        <v>0</v>
      </c>
      <c r="U64" s="19">
        <v>0</v>
      </c>
      <c r="V64" s="20">
        <v>0</v>
      </c>
      <c r="W64" s="20">
        <v>-1</v>
      </c>
      <c r="Y64" s="18">
        <v>15</v>
      </c>
      <c r="Z64" s="15">
        <v>100</v>
      </c>
      <c r="AD64" s="21">
        <v>5.2863007270463998</v>
      </c>
      <c r="AE64" s="22" t="str">
        <f t="shared" si="2"/>
        <v>UC Berkeley Lab</v>
      </c>
      <c r="AF64" s="22" t="s">
        <v>15</v>
      </c>
    </row>
    <row r="65" spans="1:32" x14ac:dyDescent="0.2">
      <c r="A65" s="1">
        <v>124</v>
      </c>
      <c r="B65" s="13">
        <v>43532</v>
      </c>
      <c r="C65" s="14" t="s">
        <v>34</v>
      </c>
      <c r="D65" s="14" t="s">
        <v>10</v>
      </c>
      <c r="E65" s="14" t="s">
        <v>25</v>
      </c>
      <c r="F65" s="15">
        <v>0.5</v>
      </c>
      <c r="G65" s="15">
        <v>0</v>
      </c>
      <c r="H65" s="15">
        <v>0.8</v>
      </c>
      <c r="I65" s="15">
        <v>0.5</v>
      </c>
      <c r="M65" s="17" t="s">
        <v>27</v>
      </c>
      <c r="N65" s="18">
        <v>196</v>
      </c>
      <c r="O65" s="18">
        <v>21</v>
      </c>
      <c r="P65" s="15">
        <v>0.3</v>
      </c>
      <c r="Q65" s="1" t="s">
        <v>2</v>
      </c>
      <c r="R65" s="20" t="str">
        <f t="shared" si="1"/>
        <v>horizontal</v>
      </c>
      <c r="S65" s="19">
        <v>0.3</v>
      </c>
      <c r="T65" s="19">
        <v>0</v>
      </c>
      <c r="U65" s="19">
        <v>0</v>
      </c>
      <c r="V65" s="20">
        <v>0</v>
      </c>
      <c r="W65" s="20">
        <v>-1</v>
      </c>
      <c r="Y65" s="18">
        <v>15</v>
      </c>
      <c r="Z65" s="15">
        <v>100</v>
      </c>
      <c r="AD65" s="21">
        <v>4.3895115792368502</v>
      </c>
      <c r="AE65" s="22" t="str">
        <f t="shared" si="2"/>
        <v>UC Berkeley Lab</v>
      </c>
      <c r="AF65" s="22"/>
    </row>
    <row r="66" spans="1:32" x14ac:dyDescent="0.2">
      <c r="A66" s="1">
        <v>125</v>
      </c>
      <c r="B66" s="13">
        <v>43532</v>
      </c>
      <c r="C66" s="14" t="s">
        <v>34</v>
      </c>
      <c r="D66" s="14" t="s">
        <v>10</v>
      </c>
      <c r="E66" s="14" t="s">
        <v>25</v>
      </c>
      <c r="F66" s="15">
        <v>0.5</v>
      </c>
      <c r="G66" s="15">
        <v>0</v>
      </c>
      <c r="H66" s="15">
        <v>0.8</v>
      </c>
      <c r="I66" s="15">
        <v>0.5</v>
      </c>
      <c r="M66" s="17" t="s">
        <v>27</v>
      </c>
      <c r="N66" s="18">
        <v>196</v>
      </c>
      <c r="O66" s="18">
        <v>21</v>
      </c>
      <c r="P66" s="15">
        <v>0.3</v>
      </c>
      <c r="Q66" s="1" t="s">
        <v>2</v>
      </c>
      <c r="R66" s="20" t="str">
        <f t="shared" si="1"/>
        <v>horizontal</v>
      </c>
      <c r="S66" s="19">
        <v>0.3</v>
      </c>
      <c r="T66" s="19">
        <v>0</v>
      </c>
      <c r="U66" s="19">
        <v>0</v>
      </c>
      <c r="V66" s="20">
        <v>0</v>
      </c>
      <c r="W66" s="20">
        <v>-1</v>
      </c>
      <c r="Y66" s="18">
        <v>15</v>
      </c>
      <c r="Z66" s="15">
        <v>100</v>
      </c>
      <c r="AD66" s="21">
        <v>4.7650641667095899</v>
      </c>
      <c r="AE66" s="22" t="str">
        <f t="shared" si="2"/>
        <v>UC Berkeley Lab</v>
      </c>
      <c r="AF66" s="22"/>
    </row>
    <row r="67" spans="1:32" x14ac:dyDescent="0.2">
      <c r="A67" s="1">
        <v>126</v>
      </c>
      <c r="B67" s="13">
        <v>43532</v>
      </c>
      <c r="C67" s="14" t="s">
        <v>34</v>
      </c>
      <c r="D67" s="14" t="s">
        <v>10</v>
      </c>
      <c r="E67" s="14" t="s">
        <v>25</v>
      </c>
      <c r="F67" s="15">
        <v>0.5</v>
      </c>
      <c r="G67" s="15">
        <v>0</v>
      </c>
      <c r="H67" s="15">
        <v>0.8</v>
      </c>
      <c r="I67" s="15">
        <v>0.5</v>
      </c>
      <c r="M67" s="17" t="s">
        <v>27</v>
      </c>
      <c r="N67" s="18">
        <v>196</v>
      </c>
      <c r="O67" s="18">
        <v>21</v>
      </c>
      <c r="P67" s="15">
        <v>0.3</v>
      </c>
      <c r="Q67" s="1" t="s">
        <v>1</v>
      </c>
      <c r="R67" s="20" t="str">
        <f t="shared" si="1"/>
        <v>horizontal</v>
      </c>
      <c r="S67" s="19">
        <v>-0.3</v>
      </c>
      <c r="T67" s="19">
        <v>0</v>
      </c>
      <c r="U67" s="19">
        <v>0</v>
      </c>
      <c r="V67" s="20">
        <v>0</v>
      </c>
      <c r="W67" s="20">
        <v>-1</v>
      </c>
      <c r="Y67" s="18">
        <v>15</v>
      </c>
      <c r="Z67" s="15">
        <v>100</v>
      </c>
      <c r="AD67" s="21">
        <v>2.8816164823158199</v>
      </c>
      <c r="AE67" s="22" t="str">
        <f t="shared" si="2"/>
        <v>UC Berkeley Lab</v>
      </c>
      <c r="AF67" s="22" t="s">
        <v>16</v>
      </c>
    </row>
    <row r="68" spans="1:32" x14ac:dyDescent="0.2">
      <c r="A68" s="1">
        <v>127</v>
      </c>
      <c r="B68" s="13">
        <v>43532</v>
      </c>
      <c r="C68" s="14" t="s">
        <v>34</v>
      </c>
      <c r="D68" s="14" t="s">
        <v>10</v>
      </c>
      <c r="E68" s="14" t="s">
        <v>25</v>
      </c>
      <c r="F68" s="15">
        <v>0.5</v>
      </c>
      <c r="G68" s="15">
        <v>0</v>
      </c>
      <c r="H68" s="15">
        <v>0.8</v>
      </c>
      <c r="I68" s="15">
        <v>0.5</v>
      </c>
      <c r="M68" s="17" t="s">
        <v>27</v>
      </c>
      <c r="N68" s="18">
        <v>196</v>
      </c>
      <c r="O68" s="18">
        <v>21</v>
      </c>
      <c r="P68" s="15">
        <v>0.3</v>
      </c>
      <c r="Q68" s="1" t="s">
        <v>1</v>
      </c>
      <c r="R68" s="20" t="str">
        <f t="shared" ref="R68:R131" si="4">R67</f>
        <v>horizontal</v>
      </c>
      <c r="S68" s="19">
        <v>-0.3</v>
      </c>
      <c r="T68" s="19">
        <v>0</v>
      </c>
      <c r="U68" s="19">
        <v>0</v>
      </c>
      <c r="V68" s="20">
        <v>0</v>
      </c>
      <c r="W68" s="20">
        <v>-1</v>
      </c>
      <c r="Y68" s="18">
        <v>15</v>
      </c>
      <c r="Z68" s="15">
        <v>100</v>
      </c>
      <c r="AD68" s="21">
        <v>2.9007425715983599</v>
      </c>
      <c r="AE68" s="22" t="str">
        <f t="shared" ref="AE68:AE131" si="5">AE67</f>
        <v>UC Berkeley Lab</v>
      </c>
      <c r="AF68" s="22" t="s">
        <v>18</v>
      </c>
    </row>
    <row r="69" spans="1:32" x14ac:dyDescent="0.2">
      <c r="A69" s="1">
        <v>128</v>
      </c>
      <c r="B69" s="13">
        <v>43532</v>
      </c>
      <c r="C69" s="14" t="s">
        <v>34</v>
      </c>
      <c r="D69" s="14" t="s">
        <v>10</v>
      </c>
      <c r="E69" s="14" t="s">
        <v>25</v>
      </c>
      <c r="F69" s="15">
        <v>0.5</v>
      </c>
      <c r="G69" s="15">
        <v>0</v>
      </c>
      <c r="H69" s="15">
        <v>0.8</v>
      </c>
      <c r="I69" s="15">
        <v>0.5</v>
      </c>
      <c r="M69" s="17" t="s">
        <v>27</v>
      </c>
      <c r="N69" s="18">
        <v>196</v>
      </c>
      <c r="O69" s="18">
        <v>21</v>
      </c>
      <c r="P69" s="15">
        <v>0.3</v>
      </c>
      <c r="Q69" s="1" t="s">
        <v>1</v>
      </c>
      <c r="R69" s="20" t="str">
        <f t="shared" si="4"/>
        <v>horizontal</v>
      </c>
      <c r="S69" s="19">
        <v>-0.3</v>
      </c>
      <c r="T69" s="19">
        <v>0</v>
      </c>
      <c r="U69" s="19">
        <v>0</v>
      </c>
      <c r="V69" s="20">
        <v>0</v>
      </c>
      <c r="W69" s="20">
        <v>-1</v>
      </c>
      <c r="Y69" s="18">
        <v>15</v>
      </c>
      <c r="Z69" s="15">
        <v>100</v>
      </c>
      <c r="AD69" s="21">
        <v>2.9759809360879701</v>
      </c>
      <c r="AE69" s="22" t="str">
        <f t="shared" si="5"/>
        <v>UC Berkeley Lab</v>
      </c>
      <c r="AF69" s="22" t="s">
        <v>18</v>
      </c>
    </row>
    <row r="70" spans="1:32" x14ac:dyDescent="0.2">
      <c r="A70" s="1">
        <v>129</v>
      </c>
      <c r="B70" s="13">
        <v>43532</v>
      </c>
      <c r="C70" s="14" t="s">
        <v>34</v>
      </c>
      <c r="D70" s="14" t="s">
        <v>10</v>
      </c>
      <c r="E70" s="14" t="s">
        <v>25</v>
      </c>
      <c r="F70" s="15">
        <v>0.5</v>
      </c>
      <c r="G70" s="15">
        <v>0</v>
      </c>
      <c r="H70" s="15">
        <v>0.8</v>
      </c>
      <c r="I70" s="15">
        <v>0.5</v>
      </c>
      <c r="M70" s="17" t="s">
        <v>27</v>
      </c>
      <c r="N70" s="18">
        <v>196</v>
      </c>
      <c r="O70" s="18">
        <v>21</v>
      </c>
      <c r="P70" s="15">
        <v>0.3</v>
      </c>
      <c r="Q70" s="1" t="s">
        <v>1</v>
      </c>
      <c r="R70" s="20" t="str">
        <f t="shared" si="4"/>
        <v>horizontal</v>
      </c>
      <c r="S70" s="19">
        <v>-0.3</v>
      </c>
      <c r="T70" s="19">
        <v>0</v>
      </c>
      <c r="U70" s="19">
        <v>0</v>
      </c>
      <c r="V70" s="20">
        <v>0</v>
      </c>
      <c r="W70" s="20">
        <v>-1</v>
      </c>
      <c r="Y70" s="18">
        <v>15</v>
      </c>
      <c r="Z70" s="15">
        <v>100</v>
      </c>
      <c r="AD70" s="21">
        <v>2.9713610149975098</v>
      </c>
      <c r="AE70" s="22" t="str">
        <f t="shared" si="5"/>
        <v>UC Berkeley Lab</v>
      </c>
      <c r="AF70" s="22"/>
    </row>
    <row r="71" spans="1:32" x14ac:dyDescent="0.2">
      <c r="A71" s="1">
        <v>130</v>
      </c>
      <c r="B71" s="13">
        <v>43532</v>
      </c>
      <c r="C71" s="14" t="s">
        <v>34</v>
      </c>
      <c r="D71" s="14" t="s">
        <v>10</v>
      </c>
      <c r="E71" s="14" t="s">
        <v>25</v>
      </c>
      <c r="F71" s="15">
        <v>0.5</v>
      </c>
      <c r="G71" s="15">
        <v>0</v>
      </c>
      <c r="H71" s="15">
        <v>0.8</v>
      </c>
      <c r="I71" s="15">
        <v>0.5</v>
      </c>
      <c r="M71" s="17" t="s">
        <v>27</v>
      </c>
      <c r="N71" s="18">
        <v>196</v>
      </c>
      <c r="O71" s="18">
        <v>21</v>
      </c>
      <c r="P71" s="15">
        <v>0.2</v>
      </c>
      <c r="Q71" s="1" t="s">
        <v>1</v>
      </c>
      <c r="R71" s="20" t="str">
        <f t="shared" si="4"/>
        <v>horizontal</v>
      </c>
      <c r="S71" s="19">
        <v>-0.2</v>
      </c>
      <c r="T71" s="19">
        <v>0</v>
      </c>
      <c r="U71" s="19">
        <v>0</v>
      </c>
      <c r="V71" s="20">
        <v>0</v>
      </c>
      <c r="W71" s="20">
        <v>-1</v>
      </c>
      <c r="Y71" s="18">
        <v>15</v>
      </c>
      <c r="Z71" s="15">
        <v>100</v>
      </c>
      <c r="AD71" s="21">
        <v>2.9014442286695101</v>
      </c>
      <c r="AE71" s="22" t="str">
        <f t="shared" si="5"/>
        <v>UC Berkeley Lab</v>
      </c>
      <c r="AF71" s="22"/>
    </row>
    <row r="72" spans="1:32" x14ac:dyDescent="0.2">
      <c r="A72" s="1">
        <v>131</v>
      </c>
      <c r="B72" s="13">
        <v>43532</v>
      </c>
      <c r="C72" s="14" t="s">
        <v>34</v>
      </c>
      <c r="D72" s="14" t="s">
        <v>10</v>
      </c>
      <c r="E72" s="14" t="s">
        <v>25</v>
      </c>
      <c r="F72" s="15">
        <v>0.5</v>
      </c>
      <c r="G72" s="15">
        <v>0</v>
      </c>
      <c r="H72" s="15">
        <v>0.8</v>
      </c>
      <c r="I72" s="15">
        <v>0.5</v>
      </c>
      <c r="M72" s="17" t="s">
        <v>27</v>
      </c>
      <c r="N72" s="18">
        <v>196</v>
      </c>
      <c r="O72" s="18">
        <v>21</v>
      </c>
      <c r="P72" s="15">
        <v>0.2</v>
      </c>
      <c r="Q72" s="1" t="s">
        <v>1</v>
      </c>
      <c r="R72" s="20" t="str">
        <f t="shared" si="4"/>
        <v>horizontal</v>
      </c>
      <c r="S72" s="19">
        <v>-0.2</v>
      </c>
      <c r="T72" s="19">
        <v>0</v>
      </c>
      <c r="U72" s="19">
        <v>0</v>
      </c>
      <c r="V72" s="20">
        <v>0</v>
      </c>
      <c r="W72" s="20">
        <v>-1</v>
      </c>
      <c r="Y72" s="18">
        <v>15</v>
      </c>
      <c r="Z72" s="15">
        <v>100</v>
      </c>
      <c r="AD72" s="21">
        <v>2.8968003677446901</v>
      </c>
      <c r="AE72" s="22" t="str">
        <f t="shared" si="5"/>
        <v>UC Berkeley Lab</v>
      </c>
      <c r="AF72" s="22"/>
    </row>
    <row r="73" spans="1:32" x14ac:dyDescent="0.2">
      <c r="A73" s="1">
        <v>132</v>
      </c>
      <c r="B73" s="13">
        <v>43532</v>
      </c>
      <c r="C73" s="14" t="s">
        <v>34</v>
      </c>
      <c r="D73" s="14" t="s">
        <v>10</v>
      </c>
      <c r="E73" s="14" t="s">
        <v>25</v>
      </c>
      <c r="F73" s="15">
        <v>0.5</v>
      </c>
      <c r="G73" s="15">
        <v>0</v>
      </c>
      <c r="H73" s="15">
        <v>0.8</v>
      </c>
      <c r="I73" s="15">
        <v>0.5</v>
      </c>
      <c r="M73" s="17" t="s">
        <v>27</v>
      </c>
      <c r="N73" s="18">
        <v>196</v>
      </c>
      <c r="O73" s="18">
        <v>21</v>
      </c>
      <c r="P73" s="15">
        <v>0.2</v>
      </c>
      <c r="Q73" s="1" t="s">
        <v>1</v>
      </c>
      <c r="R73" s="20" t="str">
        <f t="shared" si="4"/>
        <v>horizontal</v>
      </c>
      <c r="S73" s="19">
        <v>-0.2</v>
      </c>
      <c r="T73" s="19">
        <v>0</v>
      </c>
      <c r="U73" s="19">
        <v>0</v>
      </c>
      <c r="V73" s="20">
        <v>0</v>
      </c>
      <c r="W73" s="20">
        <v>-1</v>
      </c>
      <c r="Y73" s="18">
        <v>15</v>
      </c>
      <c r="Z73" s="15">
        <v>100</v>
      </c>
      <c r="AD73" s="21">
        <v>2.85104032513085</v>
      </c>
      <c r="AE73" s="22" t="str">
        <f t="shared" si="5"/>
        <v>UC Berkeley Lab</v>
      </c>
      <c r="AF73" s="22"/>
    </row>
    <row r="74" spans="1:32" x14ac:dyDescent="0.2">
      <c r="A74" s="1">
        <v>133</v>
      </c>
      <c r="B74" s="13">
        <v>43532</v>
      </c>
      <c r="C74" s="14" t="s">
        <v>34</v>
      </c>
      <c r="D74" s="14" t="s">
        <v>10</v>
      </c>
      <c r="E74" s="14" t="s">
        <v>25</v>
      </c>
      <c r="F74" s="15">
        <v>0.5</v>
      </c>
      <c r="G74" s="15">
        <v>0</v>
      </c>
      <c r="H74" s="15">
        <v>0.8</v>
      </c>
      <c r="I74" s="15">
        <v>0.5</v>
      </c>
      <c r="M74" s="17" t="s">
        <v>27</v>
      </c>
      <c r="N74" s="18">
        <v>196</v>
      </c>
      <c r="O74" s="18">
        <v>21</v>
      </c>
      <c r="P74" s="15">
        <v>0.1</v>
      </c>
      <c r="Q74" s="1" t="s">
        <v>1</v>
      </c>
      <c r="R74" s="20" t="str">
        <f t="shared" si="4"/>
        <v>horizontal</v>
      </c>
      <c r="S74" s="19">
        <v>-0.1</v>
      </c>
      <c r="T74" s="19">
        <v>0</v>
      </c>
      <c r="U74" s="19">
        <v>0</v>
      </c>
      <c r="V74" s="20">
        <v>0</v>
      </c>
      <c r="W74" s="20">
        <v>-1</v>
      </c>
      <c r="Y74" s="18">
        <v>15</v>
      </c>
      <c r="Z74" s="15">
        <v>100</v>
      </c>
      <c r="AD74" s="21">
        <v>2.9622485030392101</v>
      </c>
      <c r="AE74" s="22" t="str">
        <f t="shared" si="5"/>
        <v>UC Berkeley Lab</v>
      </c>
      <c r="AF74" s="22"/>
    </row>
    <row r="75" spans="1:32" x14ac:dyDescent="0.2">
      <c r="A75" s="1">
        <v>134</v>
      </c>
      <c r="B75" s="13">
        <v>43532</v>
      </c>
      <c r="C75" s="14" t="s">
        <v>34</v>
      </c>
      <c r="D75" s="14" t="s">
        <v>10</v>
      </c>
      <c r="E75" s="14" t="s">
        <v>25</v>
      </c>
      <c r="F75" s="15">
        <v>0.5</v>
      </c>
      <c r="G75" s="15">
        <v>0</v>
      </c>
      <c r="H75" s="15">
        <v>0.8</v>
      </c>
      <c r="I75" s="15">
        <v>0.5</v>
      </c>
      <c r="M75" s="17" t="s">
        <v>27</v>
      </c>
      <c r="N75" s="18">
        <v>196</v>
      </c>
      <c r="O75" s="18">
        <v>21</v>
      </c>
      <c r="P75" s="15">
        <v>0.1</v>
      </c>
      <c r="Q75" s="1" t="s">
        <v>1</v>
      </c>
      <c r="R75" s="20" t="str">
        <f t="shared" si="4"/>
        <v>horizontal</v>
      </c>
      <c r="S75" s="19">
        <v>-0.1</v>
      </c>
      <c r="T75" s="19">
        <v>0</v>
      </c>
      <c r="U75" s="19">
        <v>0</v>
      </c>
      <c r="V75" s="20">
        <v>0</v>
      </c>
      <c r="W75" s="20">
        <v>-1</v>
      </c>
      <c r="Y75" s="18">
        <v>15</v>
      </c>
      <c r="Z75" s="15">
        <v>100</v>
      </c>
      <c r="AD75" s="21">
        <v>3.0023067560404502</v>
      </c>
      <c r="AE75" s="22" t="str">
        <f t="shared" si="5"/>
        <v>UC Berkeley Lab</v>
      </c>
      <c r="AF75" s="22"/>
    </row>
    <row r="76" spans="1:32" x14ac:dyDescent="0.2">
      <c r="A76" s="1">
        <v>137</v>
      </c>
      <c r="B76" s="13">
        <v>43543</v>
      </c>
      <c r="C76" s="14" t="s">
        <v>34</v>
      </c>
      <c r="D76" s="1" t="s">
        <v>32</v>
      </c>
      <c r="E76" s="14" t="s">
        <v>25</v>
      </c>
      <c r="F76" s="15">
        <v>0.64</v>
      </c>
      <c r="G76" s="15">
        <v>0</v>
      </c>
      <c r="H76" s="15">
        <v>4</v>
      </c>
      <c r="I76" s="15">
        <v>0.7</v>
      </c>
      <c r="M76" s="17" t="s">
        <v>27</v>
      </c>
      <c r="N76" s="18">
        <v>196</v>
      </c>
      <c r="O76" s="18">
        <v>21</v>
      </c>
      <c r="P76" s="15">
        <v>0.3</v>
      </c>
      <c r="Q76" s="1" t="s">
        <v>1</v>
      </c>
      <c r="R76" s="20" t="str">
        <f t="shared" si="4"/>
        <v>horizontal</v>
      </c>
      <c r="S76" s="19">
        <v>-0.3</v>
      </c>
      <c r="T76" s="19">
        <v>0</v>
      </c>
      <c r="U76" s="19">
        <v>0</v>
      </c>
      <c r="V76" s="20">
        <v>0</v>
      </c>
      <c r="W76" s="20">
        <v>-1</v>
      </c>
      <c r="Y76" s="18">
        <v>24</v>
      </c>
      <c r="Z76" s="15">
        <v>100</v>
      </c>
      <c r="AD76" s="21">
        <v>0.72957688442733704</v>
      </c>
      <c r="AE76" s="22" t="str">
        <f t="shared" si="5"/>
        <v>UC Berkeley Lab</v>
      </c>
      <c r="AF76" s="22"/>
    </row>
    <row r="77" spans="1:32" x14ac:dyDescent="0.2">
      <c r="A77" s="1">
        <v>138</v>
      </c>
      <c r="B77" s="13">
        <v>43543</v>
      </c>
      <c r="C77" s="14" t="s">
        <v>34</v>
      </c>
      <c r="D77" s="1" t="s">
        <v>32</v>
      </c>
      <c r="E77" s="14" t="s">
        <v>25</v>
      </c>
      <c r="F77" s="15">
        <v>0.64</v>
      </c>
      <c r="G77" s="15">
        <v>0</v>
      </c>
      <c r="H77" s="15">
        <v>4</v>
      </c>
      <c r="I77" s="15">
        <v>0.7</v>
      </c>
      <c r="M77" s="17" t="s">
        <v>27</v>
      </c>
      <c r="N77" s="18">
        <v>196</v>
      </c>
      <c r="O77" s="18">
        <v>21</v>
      </c>
      <c r="P77" s="15">
        <v>0.3</v>
      </c>
      <c r="Q77" s="1" t="s">
        <v>1</v>
      </c>
      <c r="R77" s="20" t="str">
        <f t="shared" si="4"/>
        <v>horizontal</v>
      </c>
      <c r="S77" s="19">
        <v>-0.3</v>
      </c>
      <c r="T77" s="19">
        <v>0</v>
      </c>
      <c r="U77" s="19">
        <v>0</v>
      </c>
      <c r="V77" s="20">
        <v>0</v>
      </c>
      <c r="W77" s="20">
        <v>-1</v>
      </c>
      <c r="Y77" s="18">
        <v>24</v>
      </c>
      <c r="Z77" s="15">
        <v>100</v>
      </c>
      <c r="AD77" s="21">
        <v>0.75689067045614999</v>
      </c>
      <c r="AE77" s="22" t="str">
        <f t="shared" si="5"/>
        <v>UC Berkeley Lab</v>
      </c>
      <c r="AF77" s="22"/>
    </row>
    <row r="78" spans="1:32" x14ac:dyDescent="0.2">
      <c r="A78" s="1">
        <v>139</v>
      </c>
      <c r="B78" s="13">
        <v>43543</v>
      </c>
      <c r="C78" s="14" t="s">
        <v>34</v>
      </c>
      <c r="D78" s="1" t="s">
        <v>32</v>
      </c>
      <c r="E78" s="14" t="s">
        <v>25</v>
      </c>
      <c r="F78" s="15">
        <v>0.64</v>
      </c>
      <c r="G78" s="15">
        <v>0</v>
      </c>
      <c r="H78" s="15">
        <v>4</v>
      </c>
      <c r="I78" s="15">
        <v>0.7</v>
      </c>
      <c r="M78" s="17" t="s">
        <v>27</v>
      </c>
      <c r="N78" s="18">
        <v>196</v>
      </c>
      <c r="O78" s="18">
        <v>21</v>
      </c>
      <c r="P78" s="15">
        <v>0.3</v>
      </c>
      <c r="Q78" s="1" t="s">
        <v>1</v>
      </c>
      <c r="R78" s="20" t="str">
        <f t="shared" si="4"/>
        <v>horizontal</v>
      </c>
      <c r="S78" s="19">
        <v>-0.3</v>
      </c>
      <c r="T78" s="19">
        <v>0</v>
      </c>
      <c r="U78" s="19">
        <v>0</v>
      </c>
      <c r="V78" s="20">
        <v>0</v>
      </c>
      <c r="W78" s="20">
        <v>-1</v>
      </c>
      <c r="Y78" s="18">
        <v>24</v>
      </c>
      <c r="Z78" s="15">
        <v>100</v>
      </c>
      <c r="AD78" s="21">
        <v>0.82540166709006502</v>
      </c>
      <c r="AE78" s="22" t="str">
        <f t="shared" si="5"/>
        <v>UC Berkeley Lab</v>
      </c>
      <c r="AF78" s="22"/>
    </row>
    <row r="79" spans="1:32" x14ac:dyDescent="0.2">
      <c r="A79" s="1">
        <v>140</v>
      </c>
      <c r="B79" s="13">
        <v>43543</v>
      </c>
      <c r="C79" s="14" t="s">
        <v>34</v>
      </c>
      <c r="D79" s="1" t="s">
        <v>32</v>
      </c>
      <c r="E79" s="14" t="s">
        <v>25</v>
      </c>
      <c r="F79" s="15">
        <v>0.64</v>
      </c>
      <c r="G79" s="15">
        <v>0</v>
      </c>
      <c r="H79" s="15">
        <v>4</v>
      </c>
      <c r="I79" s="15">
        <v>0.7</v>
      </c>
      <c r="M79" s="17" t="s">
        <v>27</v>
      </c>
      <c r="N79" s="18">
        <v>196</v>
      </c>
      <c r="O79" s="18">
        <v>21</v>
      </c>
      <c r="P79" s="15">
        <v>0.3</v>
      </c>
      <c r="Q79" s="1" t="s">
        <v>1</v>
      </c>
      <c r="R79" s="20" t="str">
        <f t="shared" si="4"/>
        <v>horizontal</v>
      </c>
      <c r="S79" s="19">
        <v>-0.3</v>
      </c>
      <c r="T79" s="19">
        <v>0</v>
      </c>
      <c r="U79" s="19">
        <v>0</v>
      </c>
      <c r="V79" s="20">
        <v>0</v>
      </c>
      <c r="W79" s="20">
        <v>-1</v>
      </c>
      <c r="Y79" s="18">
        <v>24</v>
      </c>
      <c r="Z79" s="15">
        <v>100</v>
      </c>
      <c r="AD79" s="21">
        <v>0.72539382324062396</v>
      </c>
      <c r="AE79" s="22" t="str">
        <f t="shared" si="5"/>
        <v>UC Berkeley Lab</v>
      </c>
      <c r="AF79" s="22" t="s">
        <v>19</v>
      </c>
    </row>
    <row r="80" spans="1:32" x14ac:dyDescent="0.2">
      <c r="A80" s="1">
        <v>141</v>
      </c>
      <c r="B80" s="13">
        <v>43543</v>
      </c>
      <c r="C80" s="14" t="s">
        <v>34</v>
      </c>
      <c r="D80" s="1" t="s">
        <v>32</v>
      </c>
      <c r="E80" s="14" t="s">
        <v>25</v>
      </c>
      <c r="F80" s="15">
        <v>0.64</v>
      </c>
      <c r="G80" s="15">
        <v>0</v>
      </c>
      <c r="H80" s="15">
        <v>4</v>
      </c>
      <c r="I80" s="15">
        <v>0.7</v>
      </c>
      <c r="M80" s="17" t="s">
        <v>27</v>
      </c>
      <c r="N80" s="18">
        <v>196</v>
      </c>
      <c r="O80" s="18">
        <v>21</v>
      </c>
      <c r="P80" s="15">
        <v>0.3</v>
      </c>
      <c r="Q80" s="1" t="s">
        <v>2</v>
      </c>
      <c r="R80" s="20" t="str">
        <f t="shared" si="4"/>
        <v>horizontal</v>
      </c>
      <c r="S80" s="19">
        <v>0.3</v>
      </c>
      <c r="T80" s="19">
        <v>0</v>
      </c>
      <c r="U80" s="19">
        <v>0</v>
      </c>
      <c r="V80" s="20">
        <v>0</v>
      </c>
      <c r="W80" s="20">
        <v>-1</v>
      </c>
      <c r="Y80" s="18">
        <v>24</v>
      </c>
      <c r="Z80" s="15">
        <v>100</v>
      </c>
      <c r="AD80" s="21">
        <v>1.7349105791894499</v>
      </c>
      <c r="AE80" s="22" t="str">
        <f t="shared" si="5"/>
        <v>UC Berkeley Lab</v>
      </c>
      <c r="AF80" s="22"/>
    </row>
    <row r="81" spans="1:32" x14ac:dyDescent="0.2">
      <c r="A81" s="1">
        <v>142</v>
      </c>
      <c r="B81" s="13">
        <v>43543</v>
      </c>
      <c r="C81" s="14" t="s">
        <v>34</v>
      </c>
      <c r="D81" s="1" t="s">
        <v>32</v>
      </c>
      <c r="E81" s="14" t="s">
        <v>25</v>
      </c>
      <c r="F81" s="15">
        <v>0.64</v>
      </c>
      <c r="G81" s="15">
        <v>0</v>
      </c>
      <c r="H81" s="15">
        <v>4</v>
      </c>
      <c r="I81" s="15">
        <v>0.7</v>
      </c>
      <c r="M81" s="17" t="s">
        <v>27</v>
      </c>
      <c r="N81" s="18">
        <v>196</v>
      </c>
      <c r="O81" s="18">
        <v>21</v>
      </c>
      <c r="P81" s="15">
        <v>0.3</v>
      </c>
      <c r="Q81" s="1" t="s">
        <v>2</v>
      </c>
      <c r="R81" s="20" t="str">
        <f t="shared" si="4"/>
        <v>horizontal</v>
      </c>
      <c r="S81" s="19">
        <v>0.3</v>
      </c>
      <c r="T81" s="19">
        <v>0</v>
      </c>
      <c r="U81" s="19">
        <v>0</v>
      </c>
      <c r="V81" s="20">
        <v>0</v>
      </c>
      <c r="W81" s="20">
        <v>-1</v>
      </c>
      <c r="Y81" s="18">
        <v>24</v>
      </c>
      <c r="Z81" s="15">
        <v>100</v>
      </c>
      <c r="AD81" s="21">
        <v>1.62041643484017</v>
      </c>
      <c r="AE81" s="22" t="str">
        <f t="shared" si="5"/>
        <v>UC Berkeley Lab</v>
      </c>
      <c r="AF81" s="22"/>
    </row>
    <row r="82" spans="1:32" x14ac:dyDescent="0.2">
      <c r="A82" s="1">
        <v>143</v>
      </c>
      <c r="B82" s="13">
        <v>43543</v>
      </c>
      <c r="C82" s="14" t="s">
        <v>34</v>
      </c>
      <c r="D82" s="1" t="s">
        <v>32</v>
      </c>
      <c r="E82" s="14" t="s">
        <v>25</v>
      </c>
      <c r="F82" s="15">
        <v>0.64</v>
      </c>
      <c r="G82" s="15">
        <v>0</v>
      </c>
      <c r="H82" s="15">
        <v>4</v>
      </c>
      <c r="I82" s="15">
        <v>0.7</v>
      </c>
      <c r="M82" s="17" t="s">
        <v>27</v>
      </c>
      <c r="N82" s="18">
        <v>196</v>
      </c>
      <c r="O82" s="18">
        <v>21</v>
      </c>
      <c r="P82" s="15">
        <v>0.3</v>
      </c>
      <c r="Q82" s="1" t="s">
        <v>2</v>
      </c>
      <c r="R82" s="20" t="str">
        <f t="shared" si="4"/>
        <v>horizontal</v>
      </c>
      <c r="S82" s="19">
        <v>0.3</v>
      </c>
      <c r="T82" s="19">
        <v>0</v>
      </c>
      <c r="U82" s="19">
        <v>0</v>
      </c>
      <c r="V82" s="20">
        <v>0</v>
      </c>
      <c r="W82" s="20">
        <v>-1</v>
      </c>
      <c r="Y82" s="18">
        <v>24</v>
      </c>
      <c r="Z82" s="15">
        <v>100</v>
      </c>
      <c r="AD82" s="21">
        <v>1.5706292105028401</v>
      </c>
      <c r="AE82" s="22" t="str">
        <f t="shared" si="5"/>
        <v>UC Berkeley Lab</v>
      </c>
      <c r="AF82" s="22"/>
    </row>
    <row r="83" spans="1:32" x14ac:dyDescent="0.2">
      <c r="A83" s="1">
        <v>145</v>
      </c>
      <c r="B83" s="13">
        <v>43564</v>
      </c>
      <c r="C83" s="14" t="s">
        <v>34</v>
      </c>
      <c r="D83" s="1" t="s">
        <v>4</v>
      </c>
      <c r="E83" s="14" t="s">
        <v>25</v>
      </c>
      <c r="F83" s="15">
        <v>3.6</v>
      </c>
      <c r="G83" s="15">
        <v>0</v>
      </c>
      <c r="H83" s="15">
        <v>8</v>
      </c>
      <c r="I83" s="15">
        <v>4</v>
      </c>
      <c r="M83" s="17" t="s">
        <v>26</v>
      </c>
      <c r="N83" s="18">
        <v>100</v>
      </c>
      <c r="O83" s="18">
        <v>21</v>
      </c>
      <c r="P83" s="15">
        <v>0</v>
      </c>
      <c r="Q83" s="1" t="s">
        <v>33</v>
      </c>
      <c r="R83" s="20" t="str">
        <f t="shared" si="4"/>
        <v>horizontal</v>
      </c>
      <c r="S83" s="19">
        <v>0</v>
      </c>
      <c r="T83" s="19">
        <v>0</v>
      </c>
      <c r="U83" s="19">
        <v>0</v>
      </c>
      <c r="V83" s="20">
        <v>0</v>
      </c>
      <c r="W83" s="20">
        <v>-1</v>
      </c>
      <c r="Y83" s="18">
        <v>24</v>
      </c>
      <c r="Z83" s="15">
        <v>100</v>
      </c>
      <c r="AD83" s="21">
        <v>0.60066208682024003</v>
      </c>
      <c r="AE83" s="22" t="str">
        <f t="shared" si="5"/>
        <v>UC Berkeley Lab</v>
      </c>
      <c r="AF83" s="22"/>
    </row>
    <row r="84" spans="1:32" x14ac:dyDescent="0.2">
      <c r="A84" s="1">
        <v>149</v>
      </c>
      <c r="B84" s="13">
        <v>43585</v>
      </c>
      <c r="C84" s="14" t="s">
        <v>34</v>
      </c>
      <c r="D84" s="1" t="s">
        <v>20</v>
      </c>
      <c r="E84" s="1" t="s">
        <v>20</v>
      </c>
      <c r="F84" s="15">
        <v>0</v>
      </c>
      <c r="G84" s="15">
        <v>0</v>
      </c>
      <c r="H84" s="15">
        <v>6.35</v>
      </c>
      <c r="I84" s="15">
        <v>0</v>
      </c>
      <c r="K84" s="16">
        <f>AVERAGE(4.912,4.899,4.921,4.93,4.898,4.912,4.93,4.913,4.895,4.884,4.926,4.932,4.932,4.888,4.918,4.865,4.925,4.898,4.919)</f>
        <v>4.910368421052631</v>
      </c>
      <c r="L84" s="16">
        <f t="shared" si="3"/>
        <v>4.910368421052631</v>
      </c>
      <c r="M84" s="17" t="s">
        <v>28</v>
      </c>
      <c r="N84" s="18">
        <v>116</v>
      </c>
      <c r="O84" s="18">
        <v>21</v>
      </c>
      <c r="P84" s="15">
        <v>0</v>
      </c>
      <c r="Q84" s="1" t="s">
        <v>33</v>
      </c>
      <c r="R84" s="20" t="str">
        <f t="shared" si="4"/>
        <v>horizontal</v>
      </c>
      <c r="S84" s="19">
        <v>0</v>
      </c>
      <c r="T84" s="19">
        <v>0</v>
      </c>
      <c r="U84" s="19">
        <v>0</v>
      </c>
      <c r="V84" s="20">
        <v>0</v>
      </c>
      <c r="W84" s="20">
        <v>-1</v>
      </c>
      <c r="Y84" s="18">
        <v>9</v>
      </c>
      <c r="Z84" s="15">
        <v>100</v>
      </c>
      <c r="AD84" s="21">
        <v>0.38664912553958097</v>
      </c>
      <c r="AE84" s="22" t="str">
        <f t="shared" si="5"/>
        <v>UC Berkeley Lab</v>
      </c>
      <c r="AF84" s="22" t="s">
        <v>43</v>
      </c>
    </row>
    <row r="85" spans="1:32" x14ac:dyDescent="0.2">
      <c r="A85" s="1">
        <v>150</v>
      </c>
      <c r="B85" s="13">
        <v>43585</v>
      </c>
      <c r="C85" s="14" t="s">
        <v>34</v>
      </c>
      <c r="D85" s="1" t="s">
        <v>20</v>
      </c>
      <c r="E85" s="1" t="s">
        <v>20</v>
      </c>
      <c r="F85" s="15">
        <v>0</v>
      </c>
      <c r="G85" s="15">
        <v>0</v>
      </c>
      <c r="H85" s="15">
        <v>6.35</v>
      </c>
      <c r="I85" s="15">
        <v>0</v>
      </c>
      <c r="K85" s="16">
        <f t="shared" ref="K85:K95" si="6">AVERAGE(4.912,4.899,4.921,4.93,4.898,4.912,4.93,4.913,4.895,4.884,4.926,4.932,4.932,4.888,4.918,4.865,4.925,4.898,4.919)</f>
        <v>4.910368421052631</v>
      </c>
      <c r="L85" s="16">
        <f t="shared" si="3"/>
        <v>4.910368421052631</v>
      </c>
      <c r="M85" s="17" t="s">
        <v>28</v>
      </c>
      <c r="N85" s="18">
        <v>116</v>
      </c>
      <c r="O85" s="18">
        <v>21</v>
      </c>
      <c r="P85" s="15">
        <v>0</v>
      </c>
      <c r="Q85" s="1" t="s">
        <v>33</v>
      </c>
      <c r="R85" s="20" t="str">
        <f t="shared" si="4"/>
        <v>horizontal</v>
      </c>
      <c r="S85" s="19">
        <v>0</v>
      </c>
      <c r="T85" s="19">
        <v>0</v>
      </c>
      <c r="U85" s="19">
        <v>0</v>
      </c>
      <c r="V85" s="20">
        <v>0</v>
      </c>
      <c r="W85" s="20">
        <v>-1</v>
      </c>
      <c r="Y85" s="18">
        <v>9</v>
      </c>
      <c r="Z85" s="15">
        <v>100</v>
      </c>
      <c r="AD85" s="21">
        <v>0.38408975929869499</v>
      </c>
      <c r="AE85" s="22" t="str">
        <f t="shared" si="5"/>
        <v>UC Berkeley Lab</v>
      </c>
      <c r="AF85" s="22" t="s">
        <v>22</v>
      </c>
    </row>
    <row r="86" spans="1:32" x14ac:dyDescent="0.2">
      <c r="A86" s="1">
        <v>151</v>
      </c>
      <c r="B86" s="13">
        <v>43585</v>
      </c>
      <c r="C86" s="14" t="s">
        <v>34</v>
      </c>
      <c r="D86" s="1" t="s">
        <v>20</v>
      </c>
      <c r="E86" s="1" t="s">
        <v>20</v>
      </c>
      <c r="F86" s="15">
        <v>0</v>
      </c>
      <c r="G86" s="15">
        <v>0</v>
      </c>
      <c r="H86" s="15">
        <v>6.35</v>
      </c>
      <c r="I86" s="15">
        <v>0</v>
      </c>
      <c r="K86" s="16">
        <f t="shared" si="6"/>
        <v>4.910368421052631</v>
      </c>
      <c r="L86" s="16">
        <f t="shared" si="3"/>
        <v>4.910368421052631</v>
      </c>
      <c r="M86" s="17" t="s">
        <v>28</v>
      </c>
      <c r="N86" s="18">
        <v>116</v>
      </c>
      <c r="O86" s="18">
        <v>21</v>
      </c>
      <c r="P86" s="15">
        <v>0</v>
      </c>
      <c r="Q86" s="1" t="s">
        <v>33</v>
      </c>
      <c r="R86" s="20" t="str">
        <f t="shared" si="4"/>
        <v>horizontal</v>
      </c>
      <c r="S86" s="19">
        <v>0</v>
      </c>
      <c r="T86" s="19">
        <v>0</v>
      </c>
      <c r="U86" s="19">
        <v>0</v>
      </c>
      <c r="V86" s="20">
        <v>0</v>
      </c>
      <c r="W86" s="20">
        <v>-1</v>
      </c>
      <c r="Y86" s="18">
        <v>9</v>
      </c>
      <c r="Z86" s="15">
        <v>100</v>
      </c>
      <c r="AD86" s="21">
        <v>0.37433678848052898</v>
      </c>
      <c r="AE86" s="22" t="str">
        <f t="shared" si="5"/>
        <v>UC Berkeley Lab</v>
      </c>
      <c r="AF86" s="22" t="s">
        <v>23</v>
      </c>
    </row>
    <row r="87" spans="1:32" x14ac:dyDescent="0.2">
      <c r="A87" s="1">
        <v>152</v>
      </c>
      <c r="B87" s="13">
        <v>43585</v>
      </c>
      <c r="C87" s="14" t="s">
        <v>34</v>
      </c>
      <c r="D87" s="1" t="s">
        <v>20</v>
      </c>
      <c r="E87" s="1" t="s">
        <v>20</v>
      </c>
      <c r="F87" s="15">
        <v>0</v>
      </c>
      <c r="G87" s="15">
        <v>0</v>
      </c>
      <c r="H87" s="15">
        <v>6.35</v>
      </c>
      <c r="I87" s="15">
        <v>0</v>
      </c>
      <c r="K87" s="16">
        <f t="shared" si="6"/>
        <v>4.910368421052631</v>
      </c>
      <c r="L87" s="16">
        <f t="shared" si="3"/>
        <v>4.910368421052631</v>
      </c>
      <c r="M87" s="17" t="s">
        <v>28</v>
      </c>
      <c r="N87" s="18">
        <v>116</v>
      </c>
      <c r="O87" s="18">
        <v>21</v>
      </c>
      <c r="P87" s="15">
        <v>0.1</v>
      </c>
      <c r="Q87" s="1" t="s">
        <v>2</v>
      </c>
      <c r="R87" s="20" t="str">
        <f t="shared" si="4"/>
        <v>horizontal</v>
      </c>
      <c r="S87" s="19">
        <v>0.1</v>
      </c>
      <c r="T87" s="19">
        <v>0</v>
      </c>
      <c r="U87" s="19">
        <v>0</v>
      </c>
      <c r="V87" s="20">
        <v>0</v>
      </c>
      <c r="W87" s="20">
        <v>-1</v>
      </c>
      <c r="Y87" s="18">
        <v>9</v>
      </c>
      <c r="Z87" s="15">
        <v>100</v>
      </c>
      <c r="AD87" s="21">
        <v>0.394095187062872</v>
      </c>
      <c r="AE87" s="22" t="str">
        <f t="shared" si="5"/>
        <v>UC Berkeley Lab</v>
      </c>
      <c r="AF87" s="22" t="s">
        <v>21</v>
      </c>
    </row>
    <row r="88" spans="1:32" x14ac:dyDescent="0.2">
      <c r="A88" s="1">
        <v>153</v>
      </c>
      <c r="B88" s="13">
        <v>43585</v>
      </c>
      <c r="C88" s="14" t="s">
        <v>34</v>
      </c>
      <c r="D88" s="1" t="s">
        <v>20</v>
      </c>
      <c r="E88" s="1" t="s">
        <v>20</v>
      </c>
      <c r="F88" s="15">
        <v>0</v>
      </c>
      <c r="G88" s="15">
        <v>0</v>
      </c>
      <c r="H88" s="15">
        <v>6.35</v>
      </c>
      <c r="I88" s="15">
        <v>0</v>
      </c>
      <c r="K88" s="16">
        <f t="shared" si="6"/>
        <v>4.910368421052631</v>
      </c>
      <c r="L88" s="16">
        <f t="shared" si="3"/>
        <v>4.910368421052631</v>
      </c>
      <c r="M88" s="17" t="s">
        <v>28</v>
      </c>
      <c r="N88" s="18">
        <v>116</v>
      </c>
      <c r="O88" s="18">
        <v>21</v>
      </c>
      <c r="P88" s="15">
        <v>0.3</v>
      </c>
      <c r="Q88" s="1" t="s">
        <v>2</v>
      </c>
      <c r="R88" s="20" t="str">
        <f t="shared" si="4"/>
        <v>horizontal</v>
      </c>
      <c r="S88" s="19">
        <v>0.3</v>
      </c>
      <c r="T88" s="19">
        <v>0</v>
      </c>
      <c r="U88" s="19">
        <v>0</v>
      </c>
      <c r="V88" s="20">
        <v>0</v>
      </c>
      <c r="W88" s="20">
        <v>-1</v>
      </c>
      <c r="Y88" s="18">
        <v>9</v>
      </c>
      <c r="Z88" s="15">
        <v>100</v>
      </c>
      <c r="AD88" s="21">
        <v>0.54003319252515003</v>
      </c>
      <c r="AE88" s="22" t="str">
        <f t="shared" si="5"/>
        <v>UC Berkeley Lab</v>
      </c>
      <c r="AF88" s="22"/>
    </row>
    <row r="89" spans="1:32" x14ac:dyDescent="0.2">
      <c r="A89" s="1">
        <v>154</v>
      </c>
      <c r="B89" s="13">
        <v>43585</v>
      </c>
      <c r="C89" s="14" t="s">
        <v>34</v>
      </c>
      <c r="D89" s="1" t="s">
        <v>20</v>
      </c>
      <c r="E89" s="1" t="s">
        <v>20</v>
      </c>
      <c r="F89" s="15">
        <v>0</v>
      </c>
      <c r="G89" s="15">
        <v>0</v>
      </c>
      <c r="H89" s="15">
        <v>6.35</v>
      </c>
      <c r="I89" s="15">
        <v>0</v>
      </c>
      <c r="K89" s="16">
        <f t="shared" si="6"/>
        <v>4.910368421052631</v>
      </c>
      <c r="L89" s="16">
        <f t="shared" si="3"/>
        <v>4.910368421052631</v>
      </c>
      <c r="M89" s="17" t="s">
        <v>28</v>
      </c>
      <c r="N89" s="18">
        <v>116</v>
      </c>
      <c r="O89" s="18">
        <v>21</v>
      </c>
      <c r="P89" s="15">
        <v>0.3</v>
      </c>
      <c r="Q89" s="1" t="s">
        <v>2</v>
      </c>
      <c r="R89" s="20" t="str">
        <f t="shared" si="4"/>
        <v>horizontal</v>
      </c>
      <c r="S89" s="19">
        <v>0.3</v>
      </c>
      <c r="T89" s="19">
        <v>0</v>
      </c>
      <c r="U89" s="19">
        <v>0</v>
      </c>
      <c r="V89" s="20">
        <v>0</v>
      </c>
      <c r="W89" s="20">
        <v>-1</v>
      </c>
      <c r="Y89" s="18">
        <v>9</v>
      </c>
      <c r="Z89" s="15">
        <v>100</v>
      </c>
      <c r="AD89" s="21">
        <v>0.48288074498100497</v>
      </c>
      <c r="AE89" s="22" t="str">
        <f t="shared" si="5"/>
        <v>UC Berkeley Lab</v>
      </c>
      <c r="AF89" s="22"/>
    </row>
    <row r="90" spans="1:32" x14ac:dyDescent="0.2">
      <c r="A90" s="1">
        <v>155</v>
      </c>
      <c r="B90" s="13">
        <v>43585</v>
      </c>
      <c r="C90" s="14" t="s">
        <v>34</v>
      </c>
      <c r="D90" s="1" t="s">
        <v>20</v>
      </c>
      <c r="E90" s="1" t="s">
        <v>20</v>
      </c>
      <c r="F90" s="15">
        <v>0</v>
      </c>
      <c r="G90" s="15">
        <v>0</v>
      </c>
      <c r="H90" s="15">
        <v>6.35</v>
      </c>
      <c r="I90" s="15">
        <v>0</v>
      </c>
      <c r="K90" s="16">
        <f t="shared" si="6"/>
        <v>4.910368421052631</v>
      </c>
      <c r="L90" s="16">
        <f t="shared" ref="L90:L129" si="7">SUM(J90:K90)</f>
        <v>4.910368421052631</v>
      </c>
      <c r="M90" s="17" t="s">
        <v>28</v>
      </c>
      <c r="N90" s="18">
        <v>116</v>
      </c>
      <c r="O90" s="18">
        <v>21</v>
      </c>
      <c r="P90" s="15">
        <v>0.3</v>
      </c>
      <c r="Q90" s="1" t="s">
        <v>2</v>
      </c>
      <c r="R90" s="20" t="str">
        <f t="shared" si="4"/>
        <v>horizontal</v>
      </c>
      <c r="S90" s="19">
        <v>0.3</v>
      </c>
      <c r="T90" s="19">
        <v>0</v>
      </c>
      <c r="U90" s="19">
        <v>0</v>
      </c>
      <c r="V90" s="20">
        <v>0</v>
      </c>
      <c r="W90" s="20">
        <v>-1</v>
      </c>
      <c r="Y90" s="18">
        <v>9</v>
      </c>
      <c r="Z90" s="15">
        <v>100</v>
      </c>
      <c r="AD90" s="21">
        <v>0.48644895291807699</v>
      </c>
      <c r="AE90" s="22" t="str">
        <f t="shared" si="5"/>
        <v>UC Berkeley Lab</v>
      </c>
      <c r="AF90" s="22"/>
    </row>
    <row r="91" spans="1:32" x14ac:dyDescent="0.2">
      <c r="A91" s="1">
        <v>156</v>
      </c>
      <c r="B91" s="13">
        <v>43585</v>
      </c>
      <c r="C91" s="14" t="s">
        <v>34</v>
      </c>
      <c r="D91" s="1" t="s">
        <v>20</v>
      </c>
      <c r="E91" s="1" t="s">
        <v>20</v>
      </c>
      <c r="F91" s="15">
        <v>0</v>
      </c>
      <c r="G91" s="15">
        <v>0</v>
      </c>
      <c r="H91" s="15">
        <v>6.35</v>
      </c>
      <c r="I91" s="15">
        <v>0</v>
      </c>
      <c r="K91" s="16">
        <f t="shared" si="6"/>
        <v>4.910368421052631</v>
      </c>
      <c r="L91" s="16">
        <f t="shared" si="7"/>
        <v>4.910368421052631</v>
      </c>
      <c r="M91" s="17" t="s">
        <v>28</v>
      </c>
      <c r="N91" s="18">
        <v>116</v>
      </c>
      <c r="O91" s="18">
        <v>21</v>
      </c>
      <c r="P91" s="15">
        <v>0.2</v>
      </c>
      <c r="Q91" s="1" t="s">
        <v>2</v>
      </c>
      <c r="R91" s="20" t="str">
        <f t="shared" si="4"/>
        <v>horizontal</v>
      </c>
      <c r="S91" s="19">
        <v>0.2</v>
      </c>
      <c r="T91" s="19">
        <v>0</v>
      </c>
      <c r="U91" s="19">
        <v>0</v>
      </c>
      <c r="V91" s="20">
        <v>0</v>
      </c>
      <c r="W91" s="20">
        <v>-1</v>
      </c>
      <c r="Y91" s="18">
        <v>9</v>
      </c>
      <c r="Z91" s="15">
        <v>100</v>
      </c>
      <c r="AD91" s="21">
        <v>0.475743222196786</v>
      </c>
      <c r="AE91" s="22" t="str">
        <f t="shared" si="5"/>
        <v>UC Berkeley Lab</v>
      </c>
      <c r="AF91" s="22"/>
    </row>
    <row r="92" spans="1:32" x14ac:dyDescent="0.2">
      <c r="A92" s="1">
        <v>157</v>
      </c>
      <c r="B92" s="13">
        <v>43585</v>
      </c>
      <c r="C92" s="14" t="s">
        <v>34</v>
      </c>
      <c r="D92" s="1" t="s">
        <v>20</v>
      </c>
      <c r="E92" s="1" t="s">
        <v>20</v>
      </c>
      <c r="F92" s="15">
        <v>0</v>
      </c>
      <c r="G92" s="15">
        <v>0</v>
      </c>
      <c r="H92" s="15">
        <v>6.35</v>
      </c>
      <c r="I92" s="15">
        <v>0</v>
      </c>
      <c r="K92" s="16">
        <f t="shared" si="6"/>
        <v>4.910368421052631</v>
      </c>
      <c r="L92" s="16">
        <f t="shared" si="7"/>
        <v>4.910368421052631</v>
      </c>
      <c r="M92" s="17" t="s">
        <v>28</v>
      </c>
      <c r="N92" s="18">
        <v>116</v>
      </c>
      <c r="O92" s="18">
        <v>21</v>
      </c>
      <c r="P92" s="15">
        <v>0.2</v>
      </c>
      <c r="Q92" s="1" t="s">
        <v>2</v>
      </c>
      <c r="R92" s="20" t="str">
        <f t="shared" si="4"/>
        <v>horizontal</v>
      </c>
      <c r="S92" s="19">
        <v>0.2</v>
      </c>
      <c r="T92" s="19">
        <v>0</v>
      </c>
      <c r="U92" s="19">
        <v>0</v>
      </c>
      <c r="V92" s="20">
        <v>0</v>
      </c>
      <c r="W92" s="20">
        <v>-1</v>
      </c>
      <c r="Y92" s="18">
        <v>9</v>
      </c>
      <c r="Z92" s="15">
        <v>100</v>
      </c>
      <c r="AD92" s="21">
        <v>0.48659996926533999</v>
      </c>
      <c r="AE92" s="22" t="str">
        <f t="shared" si="5"/>
        <v>UC Berkeley Lab</v>
      </c>
      <c r="AF92" s="22"/>
    </row>
    <row r="93" spans="1:32" x14ac:dyDescent="0.2">
      <c r="A93" s="1">
        <v>158</v>
      </c>
      <c r="B93" s="13">
        <v>43585</v>
      </c>
      <c r="C93" s="14" t="s">
        <v>34</v>
      </c>
      <c r="D93" s="1" t="s">
        <v>20</v>
      </c>
      <c r="E93" s="1" t="s">
        <v>20</v>
      </c>
      <c r="F93" s="15">
        <v>0</v>
      </c>
      <c r="G93" s="15">
        <v>0</v>
      </c>
      <c r="H93" s="15">
        <v>6.35</v>
      </c>
      <c r="I93" s="15">
        <v>0</v>
      </c>
      <c r="K93" s="16">
        <f t="shared" si="6"/>
        <v>4.910368421052631</v>
      </c>
      <c r="L93" s="16">
        <f t="shared" si="7"/>
        <v>4.910368421052631</v>
      </c>
      <c r="M93" s="17" t="s">
        <v>28</v>
      </c>
      <c r="N93" s="18">
        <v>116</v>
      </c>
      <c r="O93" s="18">
        <v>21</v>
      </c>
      <c r="P93" s="15">
        <v>0.2</v>
      </c>
      <c r="Q93" s="1" t="s">
        <v>2</v>
      </c>
      <c r="R93" s="20" t="str">
        <f t="shared" si="4"/>
        <v>horizontal</v>
      </c>
      <c r="S93" s="19">
        <v>0.2</v>
      </c>
      <c r="T93" s="19">
        <v>0</v>
      </c>
      <c r="U93" s="19">
        <v>0</v>
      </c>
      <c r="V93" s="20">
        <v>0</v>
      </c>
      <c r="W93" s="20">
        <v>-1</v>
      </c>
      <c r="Y93" s="18">
        <v>9</v>
      </c>
      <c r="Z93" s="15">
        <v>100</v>
      </c>
      <c r="AD93" s="21">
        <v>0.48867903265160001</v>
      </c>
      <c r="AE93" s="22" t="str">
        <f t="shared" si="5"/>
        <v>UC Berkeley Lab</v>
      </c>
      <c r="AF93" s="22"/>
    </row>
    <row r="94" spans="1:32" x14ac:dyDescent="0.2">
      <c r="A94" s="1">
        <v>159</v>
      </c>
      <c r="B94" s="13">
        <v>43585</v>
      </c>
      <c r="C94" s="14" t="s">
        <v>34</v>
      </c>
      <c r="D94" s="1" t="s">
        <v>20</v>
      </c>
      <c r="E94" s="1" t="s">
        <v>20</v>
      </c>
      <c r="F94" s="15">
        <v>0</v>
      </c>
      <c r="G94" s="15">
        <v>0</v>
      </c>
      <c r="H94" s="15">
        <v>6.35</v>
      </c>
      <c r="I94" s="15">
        <v>0</v>
      </c>
      <c r="K94" s="16">
        <f t="shared" si="6"/>
        <v>4.910368421052631</v>
      </c>
      <c r="L94" s="16">
        <f t="shared" si="7"/>
        <v>4.910368421052631</v>
      </c>
      <c r="M94" s="17" t="s">
        <v>28</v>
      </c>
      <c r="N94" s="18">
        <v>116</v>
      </c>
      <c r="O94" s="18">
        <v>21</v>
      </c>
      <c r="P94" s="15">
        <v>0.1</v>
      </c>
      <c r="Q94" s="1" t="s">
        <v>2</v>
      </c>
      <c r="R94" s="20" t="str">
        <f t="shared" si="4"/>
        <v>horizontal</v>
      </c>
      <c r="S94" s="19">
        <v>0.1</v>
      </c>
      <c r="T94" s="19">
        <v>0</v>
      </c>
      <c r="U94" s="19">
        <v>0</v>
      </c>
      <c r="V94" s="20">
        <v>0</v>
      </c>
      <c r="W94" s="20">
        <v>-1</v>
      </c>
      <c r="Y94" s="18">
        <v>9</v>
      </c>
      <c r="Z94" s="15">
        <v>100</v>
      </c>
      <c r="AD94" s="21">
        <v>0.439477549016908</v>
      </c>
      <c r="AE94" s="22" t="str">
        <f t="shared" si="5"/>
        <v>UC Berkeley Lab</v>
      </c>
      <c r="AF94" s="22"/>
    </row>
    <row r="95" spans="1:32" x14ac:dyDescent="0.2">
      <c r="A95" s="1">
        <v>160</v>
      </c>
      <c r="B95" s="13">
        <v>43585</v>
      </c>
      <c r="C95" s="14" t="s">
        <v>34</v>
      </c>
      <c r="D95" s="1" t="s">
        <v>20</v>
      </c>
      <c r="E95" s="1" t="s">
        <v>20</v>
      </c>
      <c r="F95" s="15">
        <v>0</v>
      </c>
      <c r="G95" s="15">
        <v>0</v>
      </c>
      <c r="H95" s="15">
        <v>6.35</v>
      </c>
      <c r="I95" s="15">
        <v>0</v>
      </c>
      <c r="K95" s="16">
        <f t="shared" si="6"/>
        <v>4.910368421052631</v>
      </c>
      <c r="L95" s="16">
        <f t="shared" si="7"/>
        <v>4.910368421052631</v>
      </c>
      <c r="M95" s="17" t="s">
        <v>28</v>
      </c>
      <c r="N95" s="18">
        <v>116</v>
      </c>
      <c r="O95" s="18">
        <v>21</v>
      </c>
      <c r="P95" s="15">
        <v>0.1</v>
      </c>
      <c r="Q95" s="1" t="s">
        <v>2</v>
      </c>
      <c r="R95" s="20" t="str">
        <f t="shared" si="4"/>
        <v>horizontal</v>
      </c>
      <c r="S95" s="19">
        <v>0.1</v>
      </c>
      <c r="T95" s="19">
        <v>0</v>
      </c>
      <c r="U95" s="19">
        <v>0</v>
      </c>
      <c r="V95" s="20">
        <v>0</v>
      </c>
      <c r="W95" s="20">
        <v>-1</v>
      </c>
      <c r="Y95" s="18">
        <v>9</v>
      </c>
      <c r="Z95" s="15">
        <v>100</v>
      </c>
      <c r="AD95" s="21">
        <v>0.44200117108960102</v>
      </c>
      <c r="AE95" s="22" t="str">
        <f t="shared" si="5"/>
        <v>UC Berkeley Lab</v>
      </c>
      <c r="AF95" s="22"/>
    </row>
    <row r="96" spans="1:32" x14ac:dyDescent="0.2">
      <c r="A96" s="1">
        <v>161</v>
      </c>
      <c r="B96" s="13">
        <v>43606</v>
      </c>
      <c r="C96" s="14" t="s">
        <v>34</v>
      </c>
      <c r="D96" s="1" t="s">
        <v>20</v>
      </c>
      <c r="E96" s="1" t="s">
        <v>20</v>
      </c>
      <c r="F96" s="15">
        <v>0</v>
      </c>
      <c r="G96" s="15">
        <v>0</v>
      </c>
      <c r="H96" s="15">
        <v>6.35</v>
      </c>
      <c r="I96" s="15">
        <v>0</v>
      </c>
      <c r="K96" s="16">
        <f>AVERAGE(4.786,4.783,4.806,4.775,4.79,4.797,4.779,4.742,4.797,4.802,4.77,4.809,4.796,4.785,4.775,4.777,4.783,4.786,4.798)</f>
        <v>4.7861052631578955</v>
      </c>
      <c r="L96" s="16">
        <f t="shared" si="7"/>
        <v>4.7861052631578955</v>
      </c>
      <c r="M96" s="17" t="s">
        <v>29</v>
      </c>
      <c r="N96" s="18">
        <v>130</v>
      </c>
      <c r="O96" s="18">
        <v>21</v>
      </c>
      <c r="P96" s="15">
        <v>0</v>
      </c>
      <c r="Q96" s="1" t="s">
        <v>33</v>
      </c>
      <c r="R96" s="20" t="str">
        <f t="shared" si="4"/>
        <v>horizontal</v>
      </c>
      <c r="S96" s="19">
        <v>0</v>
      </c>
      <c r="T96" s="19">
        <v>0</v>
      </c>
      <c r="U96" s="19">
        <v>0</v>
      </c>
      <c r="V96" s="20">
        <v>0</v>
      </c>
      <c r="W96" s="20">
        <v>-1</v>
      </c>
      <c r="Y96" s="18">
        <v>10</v>
      </c>
      <c r="Z96" s="15">
        <v>100</v>
      </c>
      <c r="AD96" s="21">
        <v>0.37648293086726897</v>
      </c>
      <c r="AE96" s="22" t="str">
        <f t="shared" si="5"/>
        <v>UC Berkeley Lab</v>
      </c>
      <c r="AF96" s="22" t="s">
        <v>44</v>
      </c>
    </row>
    <row r="97" spans="1:32" x14ac:dyDescent="0.2">
      <c r="A97" s="1">
        <v>162</v>
      </c>
      <c r="B97" s="13">
        <v>43606</v>
      </c>
      <c r="C97" s="14" t="s">
        <v>34</v>
      </c>
      <c r="D97" s="1" t="s">
        <v>20</v>
      </c>
      <c r="E97" s="1" t="s">
        <v>20</v>
      </c>
      <c r="F97" s="15">
        <v>0</v>
      </c>
      <c r="G97" s="15">
        <v>0</v>
      </c>
      <c r="H97" s="15">
        <v>6.35</v>
      </c>
      <c r="I97" s="15">
        <v>0</v>
      </c>
      <c r="K97" s="16">
        <f t="shared" ref="K97:K108" si="8">AVERAGE(4.786,4.783,4.806,4.775,4.79,4.797,4.779,4.742,4.797,4.802,4.77,4.809,4.796,4.785,4.775,4.777,4.783,4.786,4.798)</f>
        <v>4.7861052631578955</v>
      </c>
      <c r="L97" s="16">
        <f t="shared" si="7"/>
        <v>4.7861052631578955</v>
      </c>
      <c r="M97" s="17" t="s">
        <v>29</v>
      </c>
      <c r="N97" s="18">
        <v>130</v>
      </c>
      <c r="O97" s="18">
        <v>21</v>
      </c>
      <c r="P97" s="15">
        <v>0.1</v>
      </c>
      <c r="Q97" s="1" t="s">
        <v>2</v>
      </c>
      <c r="R97" s="20" t="str">
        <f t="shared" si="4"/>
        <v>horizontal</v>
      </c>
      <c r="S97" s="19">
        <v>0.1</v>
      </c>
      <c r="T97" s="19">
        <v>0</v>
      </c>
      <c r="U97" s="19">
        <v>0</v>
      </c>
      <c r="V97" s="20">
        <v>0</v>
      </c>
      <c r="W97" s="20">
        <v>-1</v>
      </c>
      <c r="Y97" s="18">
        <v>10</v>
      </c>
      <c r="Z97" s="15">
        <v>100</v>
      </c>
      <c r="AD97" s="21">
        <v>0.50390301277984795</v>
      </c>
      <c r="AE97" s="22" t="str">
        <f t="shared" si="5"/>
        <v>UC Berkeley Lab</v>
      </c>
      <c r="AF97" s="22"/>
    </row>
    <row r="98" spans="1:32" x14ac:dyDescent="0.2">
      <c r="A98" s="1">
        <v>163</v>
      </c>
      <c r="B98" s="13">
        <v>43606</v>
      </c>
      <c r="C98" s="14" t="s">
        <v>34</v>
      </c>
      <c r="D98" s="1" t="s">
        <v>20</v>
      </c>
      <c r="E98" s="1" t="s">
        <v>20</v>
      </c>
      <c r="F98" s="15">
        <v>0</v>
      </c>
      <c r="G98" s="15">
        <v>0</v>
      </c>
      <c r="H98" s="15">
        <v>6.35</v>
      </c>
      <c r="I98" s="15">
        <v>0</v>
      </c>
      <c r="K98" s="16">
        <f t="shared" si="8"/>
        <v>4.7861052631578955</v>
      </c>
      <c r="L98" s="16">
        <f t="shared" si="7"/>
        <v>4.7861052631578955</v>
      </c>
      <c r="M98" s="17" t="s">
        <v>29</v>
      </c>
      <c r="N98" s="18">
        <v>130</v>
      </c>
      <c r="O98" s="18">
        <v>21</v>
      </c>
      <c r="P98" s="15">
        <v>0.2</v>
      </c>
      <c r="Q98" s="1" t="s">
        <v>2</v>
      </c>
      <c r="R98" s="20" t="str">
        <f t="shared" si="4"/>
        <v>horizontal</v>
      </c>
      <c r="S98" s="19">
        <v>0.2</v>
      </c>
      <c r="T98" s="19">
        <v>0</v>
      </c>
      <c r="U98" s="19">
        <v>0</v>
      </c>
      <c r="V98" s="20">
        <v>0</v>
      </c>
      <c r="W98" s="20">
        <v>-1</v>
      </c>
      <c r="Y98" s="18">
        <v>10</v>
      </c>
      <c r="Z98" s="15">
        <v>100</v>
      </c>
      <c r="AD98" s="21">
        <v>0.49496049030154698</v>
      </c>
      <c r="AE98" s="22" t="str">
        <f t="shared" si="5"/>
        <v>UC Berkeley Lab</v>
      </c>
      <c r="AF98" s="22"/>
    </row>
    <row r="99" spans="1:32" x14ac:dyDescent="0.2">
      <c r="A99" s="1">
        <v>164</v>
      </c>
      <c r="B99" s="13">
        <v>43606</v>
      </c>
      <c r="C99" s="14" t="s">
        <v>34</v>
      </c>
      <c r="D99" s="1" t="s">
        <v>20</v>
      </c>
      <c r="E99" s="1" t="s">
        <v>20</v>
      </c>
      <c r="F99" s="15">
        <v>0</v>
      </c>
      <c r="G99" s="15">
        <v>0</v>
      </c>
      <c r="H99" s="15">
        <v>6.35</v>
      </c>
      <c r="I99" s="15">
        <v>0</v>
      </c>
      <c r="K99" s="16">
        <f t="shared" si="8"/>
        <v>4.7861052631578955</v>
      </c>
      <c r="L99" s="16">
        <f t="shared" si="7"/>
        <v>4.7861052631578955</v>
      </c>
      <c r="M99" s="17" t="s">
        <v>29</v>
      </c>
      <c r="N99" s="18">
        <v>130</v>
      </c>
      <c r="O99" s="18">
        <v>21</v>
      </c>
      <c r="P99" s="15">
        <v>0.3</v>
      </c>
      <c r="Q99" s="1" t="s">
        <v>2</v>
      </c>
      <c r="R99" s="20" t="str">
        <f t="shared" si="4"/>
        <v>horizontal</v>
      </c>
      <c r="S99" s="19">
        <v>0.3</v>
      </c>
      <c r="T99" s="19">
        <v>0</v>
      </c>
      <c r="U99" s="19">
        <v>0</v>
      </c>
      <c r="V99" s="20">
        <v>0</v>
      </c>
      <c r="W99" s="20">
        <v>-1</v>
      </c>
      <c r="Y99" s="18">
        <v>10</v>
      </c>
      <c r="Z99" s="15">
        <v>100</v>
      </c>
      <c r="AD99" s="21">
        <v>0.54898616196793604</v>
      </c>
      <c r="AE99" s="22" t="str">
        <f t="shared" si="5"/>
        <v>UC Berkeley Lab</v>
      </c>
      <c r="AF99" s="22"/>
    </row>
    <row r="100" spans="1:32" x14ac:dyDescent="0.2">
      <c r="A100" s="1">
        <v>165</v>
      </c>
      <c r="B100" s="13">
        <v>43606</v>
      </c>
      <c r="C100" s="14" t="s">
        <v>34</v>
      </c>
      <c r="D100" s="1" t="s">
        <v>20</v>
      </c>
      <c r="E100" s="1" t="s">
        <v>20</v>
      </c>
      <c r="F100" s="15">
        <v>0</v>
      </c>
      <c r="G100" s="15">
        <v>0</v>
      </c>
      <c r="H100" s="15">
        <v>6.35</v>
      </c>
      <c r="I100" s="15">
        <v>0</v>
      </c>
      <c r="K100" s="16">
        <f t="shared" si="8"/>
        <v>4.7861052631578955</v>
      </c>
      <c r="L100" s="16">
        <f t="shared" si="7"/>
        <v>4.7861052631578955</v>
      </c>
      <c r="M100" s="17" t="s">
        <v>29</v>
      </c>
      <c r="N100" s="18">
        <v>130</v>
      </c>
      <c r="O100" s="18">
        <v>21</v>
      </c>
      <c r="P100" s="15">
        <v>0.3</v>
      </c>
      <c r="Q100" s="1" t="s">
        <v>1</v>
      </c>
      <c r="R100" s="20" t="str">
        <f t="shared" si="4"/>
        <v>horizontal</v>
      </c>
      <c r="S100" s="19">
        <v>-0.3</v>
      </c>
      <c r="T100" s="19">
        <v>0</v>
      </c>
      <c r="U100" s="19">
        <v>0</v>
      </c>
      <c r="V100" s="20">
        <v>0</v>
      </c>
      <c r="W100" s="20">
        <v>-1</v>
      </c>
      <c r="Y100" s="18">
        <v>15</v>
      </c>
      <c r="Z100" s="15">
        <v>100</v>
      </c>
      <c r="AD100" s="21">
        <v>0.14664897741202501</v>
      </c>
      <c r="AE100" s="22" t="str">
        <f t="shared" si="5"/>
        <v>UC Berkeley Lab</v>
      </c>
      <c r="AF100" s="22" t="s">
        <v>24</v>
      </c>
    </row>
    <row r="101" spans="1:32" x14ac:dyDescent="0.2">
      <c r="A101" s="1">
        <v>166</v>
      </c>
      <c r="B101" s="13">
        <v>43606</v>
      </c>
      <c r="C101" s="14" t="s">
        <v>34</v>
      </c>
      <c r="D101" s="1" t="s">
        <v>20</v>
      </c>
      <c r="E101" s="1" t="s">
        <v>20</v>
      </c>
      <c r="F101" s="15">
        <v>0</v>
      </c>
      <c r="G101" s="15">
        <v>0</v>
      </c>
      <c r="H101" s="15">
        <v>6.35</v>
      </c>
      <c r="I101" s="15">
        <v>0</v>
      </c>
      <c r="K101" s="16">
        <f t="shared" si="8"/>
        <v>4.7861052631578955</v>
      </c>
      <c r="L101" s="16">
        <f t="shared" si="7"/>
        <v>4.7861052631578955</v>
      </c>
      <c r="M101" s="17" t="s">
        <v>29</v>
      </c>
      <c r="N101" s="18">
        <v>130</v>
      </c>
      <c r="O101" s="18">
        <v>21</v>
      </c>
      <c r="P101" s="15">
        <v>0.3</v>
      </c>
      <c r="Q101" s="1" t="s">
        <v>1</v>
      </c>
      <c r="R101" s="20" t="str">
        <f t="shared" si="4"/>
        <v>horizontal</v>
      </c>
      <c r="S101" s="19">
        <v>-0.3</v>
      </c>
      <c r="T101" s="19">
        <v>0</v>
      </c>
      <c r="U101" s="19">
        <v>0</v>
      </c>
      <c r="V101" s="20">
        <v>0</v>
      </c>
      <c r="W101" s="20">
        <v>-1</v>
      </c>
      <c r="Y101" s="18">
        <v>15</v>
      </c>
      <c r="Z101" s="15">
        <v>100</v>
      </c>
      <c r="AD101" s="21">
        <v>0.14845517119840601</v>
      </c>
      <c r="AE101" s="22" t="str">
        <f t="shared" si="5"/>
        <v>UC Berkeley Lab</v>
      </c>
      <c r="AF101" s="22"/>
    </row>
    <row r="102" spans="1:32" x14ac:dyDescent="0.2">
      <c r="A102" s="1">
        <v>167</v>
      </c>
      <c r="B102" s="13">
        <v>43606</v>
      </c>
      <c r="C102" s="14" t="s">
        <v>34</v>
      </c>
      <c r="D102" s="1" t="s">
        <v>20</v>
      </c>
      <c r="E102" s="1" t="s">
        <v>20</v>
      </c>
      <c r="F102" s="15">
        <v>0</v>
      </c>
      <c r="G102" s="15">
        <v>0</v>
      </c>
      <c r="H102" s="15">
        <v>6.35</v>
      </c>
      <c r="I102" s="15">
        <v>0</v>
      </c>
      <c r="K102" s="16">
        <f t="shared" si="8"/>
        <v>4.7861052631578955</v>
      </c>
      <c r="L102" s="16">
        <f t="shared" si="7"/>
        <v>4.7861052631578955</v>
      </c>
      <c r="M102" s="17" t="s">
        <v>29</v>
      </c>
      <c r="N102" s="18">
        <v>130</v>
      </c>
      <c r="O102" s="18">
        <v>21</v>
      </c>
      <c r="P102" s="15">
        <v>0.3</v>
      </c>
      <c r="Q102" s="1" t="s">
        <v>1</v>
      </c>
      <c r="R102" s="20" t="str">
        <f t="shared" si="4"/>
        <v>horizontal</v>
      </c>
      <c r="S102" s="19">
        <v>-0.3</v>
      </c>
      <c r="T102" s="19">
        <v>0</v>
      </c>
      <c r="U102" s="19">
        <v>0</v>
      </c>
      <c r="V102" s="20">
        <v>0</v>
      </c>
      <c r="W102" s="20">
        <v>-1</v>
      </c>
      <c r="Y102" s="18">
        <v>15</v>
      </c>
      <c r="Z102" s="15">
        <v>100</v>
      </c>
      <c r="AD102" s="21">
        <v>0.15093560236208001</v>
      </c>
      <c r="AE102" s="22" t="str">
        <f t="shared" si="5"/>
        <v>UC Berkeley Lab</v>
      </c>
      <c r="AF102" s="22"/>
    </row>
    <row r="103" spans="1:32" x14ac:dyDescent="0.2">
      <c r="A103" s="1">
        <v>168</v>
      </c>
      <c r="B103" s="13">
        <v>43606</v>
      </c>
      <c r="C103" s="14" t="s">
        <v>34</v>
      </c>
      <c r="D103" s="1" t="s">
        <v>20</v>
      </c>
      <c r="E103" s="1" t="s">
        <v>20</v>
      </c>
      <c r="F103" s="15">
        <v>0</v>
      </c>
      <c r="G103" s="15">
        <v>0</v>
      </c>
      <c r="H103" s="15">
        <v>6.35</v>
      </c>
      <c r="I103" s="15">
        <v>0</v>
      </c>
      <c r="K103" s="16">
        <f t="shared" si="8"/>
        <v>4.7861052631578955</v>
      </c>
      <c r="L103" s="16">
        <f t="shared" si="7"/>
        <v>4.7861052631578955</v>
      </c>
      <c r="M103" s="17" t="s">
        <v>29</v>
      </c>
      <c r="N103" s="18">
        <v>130</v>
      </c>
      <c r="O103" s="18">
        <v>21</v>
      </c>
      <c r="P103" s="15">
        <v>0.2</v>
      </c>
      <c r="Q103" s="1" t="s">
        <v>1</v>
      </c>
      <c r="R103" s="20" t="str">
        <f t="shared" si="4"/>
        <v>horizontal</v>
      </c>
      <c r="S103" s="19">
        <v>-0.2</v>
      </c>
      <c r="T103" s="19">
        <v>0</v>
      </c>
      <c r="U103" s="19">
        <v>0</v>
      </c>
      <c r="V103" s="20">
        <v>0</v>
      </c>
      <c r="W103" s="20">
        <v>-1</v>
      </c>
      <c r="Y103" s="18">
        <v>10</v>
      </c>
      <c r="Z103" s="15">
        <v>100</v>
      </c>
      <c r="AD103" s="21">
        <v>0.181565283393154</v>
      </c>
      <c r="AE103" s="22" t="str">
        <f t="shared" si="5"/>
        <v>UC Berkeley Lab</v>
      </c>
      <c r="AF103" s="22"/>
    </row>
    <row r="104" spans="1:32" x14ac:dyDescent="0.2">
      <c r="A104" s="1">
        <v>169</v>
      </c>
      <c r="B104" s="13">
        <v>43606</v>
      </c>
      <c r="C104" s="14" t="s">
        <v>34</v>
      </c>
      <c r="D104" s="1" t="s">
        <v>20</v>
      </c>
      <c r="E104" s="1" t="s">
        <v>20</v>
      </c>
      <c r="F104" s="15">
        <v>0</v>
      </c>
      <c r="G104" s="15">
        <v>0</v>
      </c>
      <c r="H104" s="15">
        <v>6.35</v>
      </c>
      <c r="I104" s="15">
        <v>0</v>
      </c>
      <c r="K104" s="16">
        <f t="shared" si="8"/>
        <v>4.7861052631578955</v>
      </c>
      <c r="L104" s="16">
        <f t="shared" si="7"/>
        <v>4.7861052631578955</v>
      </c>
      <c r="M104" s="17" t="s">
        <v>29</v>
      </c>
      <c r="N104" s="18">
        <v>130</v>
      </c>
      <c r="O104" s="18">
        <v>21</v>
      </c>
      <c r="P104" s="15">
        <v>0.2</v>
      </c>
      <c r="Q104" s="1" t="s">
        <v>1</v>
      </c>
      <c r="R104" s="20" t="str">
        <f t="shared" si="4"/>
        <v>horizontal</v>
      </c>
      <c r="S104" s="19">
        <v>-0.2</v>
      </c>
      <c r="T104" s="19">
        <v>0</v>
      </c>
      <c r="U104" s="19">
        <v>0</v>
      </c>
      <c r="V104" s="20">
        <v>0</v>
      </c>
      <c r="W104" s="20">
        <v>-1</v>
      </c>
      <c r="Y104" s="18">
        <v>10</v>
      </c>
      <c r="Z104" s="15">
        <v>100</v>
      </c>
      <c r="AD104" s="21">
        <v>0.20823688195711401</v>
      </c>
      <c r="AE104" s="22" t="str">
        <f t="shared" si="5"/>
        <v>UC Berkeley Lab</v>
      </c>
      <c r="AF104" s="22"/>
    </row>
    <row r="105" spans="1:32" x14ac:dyDescent="0.2">
      <c r="A105" s="1">
        <v>170</v>
      </c>
      <c r="B105" s="13">
        <v>43606</v>
      </c>
      <c r="C105" s="14" t="s">
        <v>34</v>
      </c>
      <c r="D105" s="1" t="s">
        <v>20</v>
      </c>
      <c r="E105" s="1" t="s">
        <v>20</v>
      </c>
      <c r="F105" s="15">
        <v>0</v>
      </c>
      <c r="G105" s="15">
        <v>0</v>
      </c>
      <c r="H105" s="15">
        <v>6.35</v>
      </c>
      <c r="I105" s="15">
        <v>0</v>
      </c>
      <c r="K105" s="16">
        <f t="shared" si="8"/>
        <v>4.7861052631578955</v>
      </c>
      <c r="L105" s="16">
        <f t="shared" si="7"/>
        <v>4.7861052631578955</v>
      </c>
      <c r="M105" s="17" t="s">
        <v>29</v>
      </c>
      <c r="N105" s="18">
        <v>130</v>
      </c>
      <c r="O105" s="18">
        <v>21</v>
      </c>
      <c r="P105" s="15">
        <v>0.2</v>
      </c>
      <c r="Q105" s="1" t="s">
        <v>1</v>
      </c>
      <c r="R105" s="20" t="str">
        <f t="shared" si="4"/>
        <v>horizontal</v>
      </c>
      <c r="S105" s="19">
        <v>-0.2</v>
      </c>
      <c r="T105" s="19">
        <v>0</v>
      </c>
      <c r="U105" s="19">
        <v>0</v>
      </c>
      <c r="V105" s="20">
        <v>0</v>
      </c>
      <c r="W105" s="20">
        <v>-1</v>
      </c>
      <c r="Y105" s="18">
        <v>10</v>
      </c>
      <c r="Z105" s="15">
        <v>100</v>
      </c>
      <c r="AD105" s="21">
        <v>0.21225671910712099</v>
      </c>
      <c r="AE105" s="22" t="str">
        <f t="shared" si="5"/>
        <v>UC Berkeley Lab</v>
      </c>
      <c r="AF105" s="22"/>
    </row>
    <row r="106" spans="1:32" x14ac:dyDescent="0.2">
      <c r="A106" s="1">
        <v>171</v>
      </c>
      <c r="B106" s="13">
        <v>43606</v>
      </c>
      <c r="C106" s="14" t="s">
        <v>34</v>
      </c>
      <c r="D106" s="1" t="s">
        <v>20</v>
      </c>
      <c r="E106" s="1" t="s">
        <v>20</v>
      </c>
      <c r="F106" s="15">
        <v>0</v>
      </c>
      <c r="G106" s="15">
        <v>0</v>
      </c>
      <c r="H106" s="15">
        <v>6.35</v>
      </c>
      <c r="I106" s="15">
        <v>0</v>
      </c>
      <c r="K106" s="16">
        <f t="shared" si="8"/>
        <v>4.7861052631578955</v>
      </c>
      <c r="L106" s="16">
        <f t="shared" si="7"/>
        <v>4.7861052631578955</v>
      </c>
      <c r="M106" s="17" t="s">
        <v>29</v>
      </c>
      <c r="N106" s="18">
        <v>130</v>
      </c>
      <c r="O106" s="18">
        <v>21</v>
      </c>
      <c r="P106" s="15">
        <v>0.1</v>
      </c>
      <c r="Q106" s="1" t="s">
        <v>1</v>
      </c>
      <c r="R106" s="20" t="str">
        <f t="shared" si="4"/>
        <v>horizontal</v>
      </c>
      <c r="S106" s="19">
        <v>-0.1</v>
      </c>
      <c r="T106" s="19">
        <v>0</v>
      </c>
      <c r="U106" s="19">
        <v>0</v>
      </c>
      <c r="V106" s="20">
        <v>0</v>
      </c>
      <c r="W106" s="20">
        <v>-1</v>
      </c>
      <c r="Y106" s="18">
        <v>10</v>
      </c>
      <c r="Z106" s="15">
        <v>100</v>
      </c>
      <c r="AD106" s="21">
        <v>0.26815628271552</v>
      </c>
      <c r="AE106" s="22" t="str">
        <f t="shared" si="5"/>
        <v>UC Berkeley Lab</v>
      </c>
      <c r="AF106" s="22"/>
    </row>
    <row r="107" spans="1:32" x14ac:dyDescent="0.2">
      <c r="A107" s="1">
        <v>172</v>
      </c>
      <c r="B107" s="13">
        <v>43606</v>
      </c>
      <c r="C107" s="14" t="s">
        <v>34</v>
      </c>
      <c r="D107" s="1" t="s">
        <v>20</v>
      </c>
      <c r="E107" s="1" t="s">
        <v>20</v>
      </c>
      <c r="F107" s="15">
        <v>0</v>
      </c>
      <c r="G107" s="15">
        <v>0</v>
      </c>
      <c r="H107" s="15">
        <v>6.35</v>
      </c>
      <c r="I107" s="15">
        <v>0</v>
      </c>
      <c r="K107" s="16">
        <f t="shared" si="8"/>
        <v>4.7861052631578955</v>
      </c>
      <c r="L107" s="16">
        <f t="shared" si="7"/>
        <v>4.7861052631578955</v>
      </c>
      <c r="M107" s="17" t="s">
        <v>29</v>
      </c>
      <c r="N107" s="18">
        <v>130</v>
      </c>
      <c r="O107" s="18">
        <v>21</v>
      </c>
      <c r="P107" s="15">
        <v>0.1</v>
      </c>
      <c r="Q107" s="1" t="s">
        <v>1</v>
      </c>
      <c r="R107" s="20" t="str">
        <f t="shared" si="4"/>
        <v>horizontal</v>
      </c>
      <c r="S107" s="19">
        <v>-0.1</v>
      </c>
      <c r="T107" s="19">
        <v>0</v>
      </c>
      <c r="U107" s="19">
        <v>0</v>
      </c>
      <c r="V107" s="20">
        <v>0</v>
      </c>
      <c r="W107" s="20">
        <v>-1</v>
      </c>
      <c r="Y107" s="18">
        <v>10</v>
      </c>
      <c r="Z107" s="15">
        <v>100</v>
      </c>
      <c r="AD107" s="21">
        <v>0.27102543097342402</v>
      </c>
      <c r="AE107" s="22" t="str">
        <f t="shared" si="5"/>
        <v>UC Berkeley Lab</v>
      </c>
      <c r="AF107" s="22"/>
    </row>
    <row r="108" spans="1:32" x14ac:dyDescent="0.2">
      <c r="A108" s="1">
        <v>173</v>
      </c>
      <c r="B108" s="13">
        <v>43606</v>
      </c>
      <c r="C108" s="14" t="s">
        <v>34</v>
      </c>
      <c r="D108" s="1" t="s">
        <v>20</v>
      </c>
      <c r="E108" s="1" t="s">
        <v>20</v>
      </c>
      <c r="F108" s="15">
        <v>0</v>
      </c>
      <c r="G108" s="15">
        <v>0</v>
      </c>
      <c r="H108" s="15">
        <v>6.35</v>
      </c>
      <c r="I108" s="15">
        <v>0</v>
      </c>
      <c r="K108" s="16">
        <f t="shared" si="8"/>
        <v>4.7861052631578955</v>
      </c>
      <c r="L108" s="16">
        <f t="shared" si="7"/>
        <v>4.7861052631578955</v>
      </c>
      <c r="M108" s="17" t="s">
        <v>29</v>
      </c>
      <c r="N108" s="18">
        <v>130</v>
      </c>
      <c r="O108" s="18">
        <v>21</v>
      </c>
      <c r="P108" s="15">
        <v>0.1</v>
      </c>
      <c r="Q108" s="1" t="s">
        <v>1</v>
      </c>
      <c r="R108" s="20" t="str">
        <f t="shared" si="4"/>
        <v>horizontal</v>
      </c>
      <c r="S108" s="19">
        <v>-0.1</v>
      </c>
      <c r="T108" s="19">
        <v>0</v>
      </c>
      <c r="U108" s="19">
        <v>0</v>
      </c>
      <c r="V108" s="20">
        <v>0</v>
      </c>
      <c r="W108" s="20">
        <v>-1</v>
      </c>
      <c r="Y108" s="18">
        <v>10</v>
      </c>
      <c r="Z108" s="15">
        <v>100</v>
      </c>
      <c r="AD108" s="21">
        <v>0.27008003267035002</v>
      </c>
      <c r="AE108" s="22" t="str">
        <f t="shared" si="5"/>
        <v>UC Berkeley Lab</v>
      </c>
      <c r="AF108" s="22"/>
    </row>
    <row r="109" spans="1:32" x14ac:dyDescent="0.2">
      <c r="A109" s="1">
        <v>198</v>
      </c>
      <c r="B109" s="13">
        <v>43630</v>
      </c>
      <c r="C109" s="1" t="s">
        <v>34</v>
      </c>
      <c r="D109" s="1" t="s">
        <v>4</v>
      </c>
      <c r="E109" s="1" t="s">
        <v>25</v>
      </c>
      <c r="F109" s="15">
        <v>2.5</v>
      </c>
      <c r="G109" s="15">
        <v>0</v>
      </c>
      <c r="H109" s="15">
        <v>4</v>
      </c>
      <c r="I109" s="15">
        <v>2.5</v>
      </c>
      <c r="J109" s="16">
        <v>5.444</v>
      </c>
      <c r="K109" s="16">
        <v>0.69199999999999995</v>
      </c>
      <c r="L109" s="16">
        <f t="shared" si="7"/>
        <v>6.1360000000000001</v>
      </c>
      <c r="M109" s="17" t="s">
        <v>29</v>
      </c>
      <c r="N109" s="18">
        <v>100</v>
      </c>
      <c r="O109" s="18">
        <v>21</v>
      </c>
      <c r="P109" s="15">
        <v>0.1</v>
      </c>
      <c r="Q109" s="1" t="s">
        <v>1</v>
      </c>
      <c r="R109" s="20" t="str">
        <f t="shared" si="4"/>
        <v>horizontal</v>
      </c>
      <c r="S109" s="19">
        <v>-0.1</v>
      </c>
      <c r="T109" s="19">
        <v>0</v>
      </c>
      <c r="U109" s="19">
        <v>0</v>
      </c>
      <c r="V109" s="20">
        <v>0</v>
      </c>
      <c r="W109" s="20">
        <v>-1</v>
      </c>
      <c r="Y109" s="18">
        <v>24</v>
      </c>
      <c r="Z109" s="15">
        <v>100</v>
      </c>
      <c r="AA109" s="16">
        <v>0.38500000000000001</v>
      </c>
      <c r="AB109" s="16">
        <v>5.4489999999999998</v>
      </c>
      <c r="AC109" s="16">
        <f t="shared" ref="AC109:AC172" si="9">L109-AA109-AB109</f>
        <v>0.30200000000000049</v>
      </c>
      <c r="AD109" s="21">
        <v>1.2443953754968999</v>
      </c>
      <c r="AE109" s="22" t="str">
        <f t="shared" si="5"/>
        <v>UC Berkeley Lab</v>
      </c>
      <c r="AF109" s="22" t="s">
        <v>38</v>
      </c>
    </row>
    <row r="110" spans="1:32" x14ac:dyDescent="0.2">
      <c r="A110" s="1">
        <v>199</v>
      </c>
      <c r="B110" s="13">
        <v>43630</v>
      </c>
      <c r="C110" s="1" t="s">
        <v>34</v>
      </c>
      <c r="D110" s="1" t="s">
        <v>4</v>
      </c>
      <c r="E110" s="1" t="s">
        <v>25</v>
      </c>
      <c r="F110" s="15">
        <v>2.5</v>
      </c>
      <c r="G110" s="15">
        <v>0</v>
      </c>
      <c r="H110" s="15">
        <v>4</v>
      </c>
      <c r="I110" s="15">
        <v>2.5</v>
      </c>
      <c r="J110" s="16">
        <v>5.41</v>
      </c>
      <c r="K110" s="16">
        <v>0.69499999999999995</v>
      </c>
      <c r="L110" s="16">
        <f>SUM(J110:K110)</f>
        <v>6.1050000000000004</v>
      </c>
      <c r="M110" s="17" t="s">
        <v>29</v>
      </c>
      <c r="N110" s="18">
        <v>100</v>
      </c>
      <c r="O110" s="18">
        <v>21</v>
      </c>
      <c r="P110" s="15">
        <v>0.1</v>
      </c>
      <c r="Q110" s="1" t="s">
        <v>1</v>
      </c>
      <c r="R110" s="20" t="str">
        <f t="shared" si="4"/>
        <v>horizontal</v>
      </c>
      <c r="S110" s="19">
        <v>-0.1</v>
      </c>
      <c r="T110" s="19">
        <v>0</v>
      </c>
      <c r="U110" s="19">
        <v>0</v>
      </c>
      <c r="V110" s="20">
        <v>0</v>
      </c>
      <c r="W110" s="20">
        <v>-1</v>
      </c>
      <c r="Y110" s="18">
        <v>24</v>
      </c>
      <c r="Z110" s="15">
        <v>100</v>
      </c>
      <c r="AA110" s="16">
        <v>0.34399999999999997</v>
      </c>
      <c r="AB110" s="16">
        <v>5.4139999999999997</v>
      </c>
      <c r="AC110" s="16">
        <f t="shared" si="9"/>
        <v>0.34700000000000042</v>
      </c>
      <c r="AD110" s="21">
        <v>1.5594725439763999</v>
      </c>
      <c r="AE110" s="22" t="str">
        <f t="shared" si="5"/>
        <v>UC Berkeley Lab</v>
      </c>
      <c r="AF110" s="22" t="s">
        <v>39</v>
      </c>
    </row>
    <row r="111" spans="1:32" x14ac:dyDescent="0.2">
      <c r="A111" s="1">
        <v>201</v>
      </c>
      <c r="B111" s="13">
        <v>43630</v>
      </c>
      <c r="C111" s="1" t="s">
        <v>34</v>
      </c>
      <c r="D111" s="1" t="s">
        <v>4</v>
      </c>
      <c r="E111" s="1" t="s">
        <v>25</v>
      </c>
      <c r="F111" s="15">
        <v>2.5</v>
      </c>
      <c r="G111" s="15">
        <v>0</v>
      </c>
      <c r="H111" s="15">
        <v>4</v>
      </c>
      <c r="I111" s="15">
        <v>2.5</v>
      </c>
      <c r="J111" s="16">
        <v>5.4189999999999996</v>
      </c>
      <c r="K111" s="16">
        <v>0.69499999999999995</v>
      </c>
      <c r="L111" s="16">
        <f t="shared" si="7"/>
        <v>6.1139999999999999</v>
      </c>
      <c r="M111" s="17" t="s">
        <v>29</v>
      </c>
      <c r="N111" s="18">
        <v>100</v>
      </c>
      <c r="O111" s="18">
        <v>21</v>
      </c>
      <c r="P111" s="15">
        <v>0.1</v>
      </c>
      <c r="Q111" s="1" t="s">
        <v>1</v>
      </c>
      <c r="R111" s="20" t="str">
        <f t="shared" si="4"/>
        <v>horizontal</v>
      </c>
      <c r="S111" s="19">
        <v>-0.1</v>
      </c>
      <c r="T111" s="19">
        <v>0</v>
      </c>
      <c r="U111" s="19">
        <v>0</v>
      </c>
      <c r="V111" s="20">
        <v>0</v>
      </c>
      <c r="W111" s="20">
        <v>-1</v>
      </c>
      <c r="Y111" s="18">
        <v>98</v>
      </c>
      <c r="Z111" s="15">
        <v>100</v>
      </c>
      <c r="AA111" s="16">
        <v>0.34799999999999998</v>
      </c>
      <c r="AB111" s="16">
        <v>5.431</v>
      </c>
      <c r="AC111" s="16">
        <f t="shared" si="9"/>
        <v>0.33499999999999996</v>
      </c>
      <c r="AD111" s="21">
        <v>1.3084990718407099</v>
      </c>
      <c r="AE111" s="22" t="str">
        <f t="shared" si="5"/>
        <v>UC Berkeley Lab</v>
      </c>
      <c r="AF111" s="22" t="s">
        <v>41</v>
      </c>
    </row>
    <row r="112" spans="1:32" x14ac:dyDescent="0.2">
      <c r="A112" s="1">
        <v>202</v>
      </c>
      <c r="B112" s="13">
        <v>43633</v>
      </c>
      <c r="C112" s="1" t="s">
        <v>34</v>
      </c>
      <c r="D112" s="1" t="s">
        <v>4</v>
      </c>
      <c r="E112" s="1" t="s">
        <v>25</v>
      </c>
      <c r="F112" s="15">
        <v>0.64</v>
      </c>
      <c r="G112" s="15">
        <v>0</v>
      </c>
      <c r="H112" s="15">
        <v>4</v>
      </c>
      <c r="I112" s="15">
        <v>0.7</v>
      </c>
      <c r="J112" s="16">
        <v>0.37</v>
      </c>
      <c r="K112" s="16">
        <v>1.1399999999999999</v>
      </c>
      <c r="L112" s="16">
        <f>SUM(J112:K112)</f>
        <v>1.5099999999999998</v>
      </c>
      <c r="M112" s="17" t="s">
        <v>29</v>
      </c>
      <c r="N112" s="18">
        <v>100</v>
      </c>
      <c r="O112" s="18">
        <v>21</v>
      </c>
      <c r="P112" s="15">
        <v>0.1</v>
      </c>
      <c r="Q112" s="1" t="s">
        <v>1</v>
      </c>
      <c r="R112" s="20" t="str">
        <f t="shared" si="4"/>
        <v>horizontal</v>
      </c>
      <c r="S112" s="19">
        <v>-0.1</v>
      </c>
      <c r="T112" s="19">
        <v>0</v>
      </c>
      <c r="U112" s="19">
        <v>0</v>
      </c>
      <c r="V112" s="20">
        <v>0</v>
      </c>
      <c r="W112" s="20">
        <v>-1</v>
      </c>
      <c r="Y112" s="18">
        <v>8</v>
      </c>
      <c r="Z112" s="15">
        <v>100</v>
      </c>
      <c r="AA112" s="16">
        <v>0.39200000000000002</v>
      </c>
      <c r="AB112" s="16">
        <v>0.38400000000000001</v>
      </c>
      <c r="AC112" s="16">
        <f t="shared" si="9"/>
        <v>0.73399999999999987</v>
      </c>
      <c r="AD112" s="21">
        <v>0.761490286756347</v>
      </c>
      <c r="AE112" s="22" t="str">
        <f t="shared" si="5"/>
        <v>UC Berkeley Lab</v>
      </c>
      <c r="AF112" s="22" t="s">
        <v>37</v>
      </c>
    </row>
    <row r="113" spans="1:32" x14ac:dyDescent="0.2">
      <c r="A113" s="1">
        <v>203</v>
      </c>
      <c r="B113" s="13">
        <v>43633</v>
      </c>
      <c r="C113" s="1" t="s">
        <v>34</v>
      </c>
      <c r="D113" s="1" t="s">
        <v>4</v>
      </c>
      <c r="E113" s="1" t="s">
        <v>25</v>
      </c>
      <c r="F113" s="15">
        <v>0.64</v>
      </c>
      <c r="G113" s="15">
        <v>0</v>
      </c>
      <c r="H113" s="15">
        <v>4</v>
      </c>
      <c r="I113" s="15">
        <v>0.7</v>
      </c>
      <c r="J113" s="16">
        <v>0.36699999999999999</v>
      </c>
      <c r="K113" s="16">
        <v>1.133</v>
      </c>
      <c r="L113" s="16">
        <f>SUM(J113:K113)</f>
        <v>1.5</v>
      </c>
      <c r="M113" s="17" t="s">
        <v>29</v>
      </c>
      <c r="N113" s="18">
        <v>100</v>
      </c>
      <c r="O113" s="18">
        <v>21</v>
      </c>
      <c r="P113" s="15">
        <v>0.1</v>
      </c>
      <c r="Q113" s="1" t="s">
        <v>1</v>
      </c>
      <c r="R113" s="20" t="str">
        <f t="shared" si="4"/>
        <v>horizontal</v>
      </c>
      <c r="S113" s="19">
        <v>-0.1</v>
      </c>
      <c r="T113" s="19">
        <v>0</v>
      </c>
      <c r="U113" s="19">
        <v>0</v>
      </c>
      <c r="V113" s="20">
        <v>0</v>
      </c>
      <c r="W113" s="20">
        <v>-1</v>
      </c>
      <c r="Y113" s="18">
        <v>7</v>
      </c>
      <c r="Z113" s="15">
        <v>100</v>
      </c>
      <c r="AA113" s="16">
        <v>0.41499999999999998</v>
      </c>
      <c r="AB113" s="16">
        <v>0.39300000000000002</v>
      </c>
      <c r="AC113" s="16">
        <f t="shared" si="9"/>
        <v>0.69199999999999995</v>
      </c>
      <c r="AD113" s="21">
        <v>0.635280467859061</v>
      </c>
      <c r="AE113" s="22" t="str">
        <f t="shared" si="5"/>
        <v>UC Berkeley Lab</v>
      </c>
      <c r="AF113" s="22" t="s">
        <v>37</v>
      </c>
    </row>
    <row r="114" spans="1:32" ht="15.75" customHeight="1" x14ac:dyDescent="0.2">
      <c r="A114" s="1">
        <v>204</v>
      </c>
      <c r="B114" s="13">
        <v>43633</v>
      </c>
      <c r="C114" s="1" t="s">
        <v>34</v>
      </c>
      <c r="D114" s="1" t="s">
        <v>4</v>
      </c>
      <c r="E114" s="1" t="s">
        <v>25</v>
      </c>
      <c r="F114" s="15">
        <v>0.64</v>
      </c>
      <c r="G114" s="15">
        <v>0</v>
      </c>
      <c r="H114" s="15">
        <v>4</v>
      </c>
      <c r="I114" s="15">
        <v>0.7</v>
      </c>
      <c r="J114" s="16">
        <v>0.372</v>
      </c>
      <c r="K114" s="16">
        <v>1.1339999999999999</v>
      </c>
      <c r="L114" s="16">
        <f>SUM(J114:K114)</f>
        <v>1.5059999999999998</v>
      </c>
      <c r="M114" s="17" t="s">
        <v>29</v>
      </c>
      <c r="N114" s="18">
        <v>100</v>
      </c>
      <c r="O114" s="18">
        <v>21</v>
      </c>
      <c r="P114" s="15">
        <v>0.1</v>
      </c>
      <c r="Q114" s="1" t="s">
        <v>1</v>
      </c>
      <c r="R114" s="20" t="str">
        <f t="shared" si="4"/>
        <v>horizontal</v>
      </c>
      <c r="S114" s="19">
        <v>-0.1</v>
      </c>
      <c r="T114" s="19">
        <v>0</v>
      </c>
      <c r="U114" s="19">
        <v>0</v>
      </c>
      <c r="V114" s="20">
        <v>0</v>
      </c>
      <c r="W114" s="20">
        <v>-1</v>
      </c>
      <c r="Y114" s="18">
        <v>31</v>
      </c>
      <c r="Z114" s="15">
        <v>100</v>
      </c>
      <c r="AA114" s="16">
        <v>0.40500000000000003</v>
      </c>
      <c r="AB114" s="16">
        <v>0.38100000000000001</v>
      </c>
      <c r="AC114" s="16">
        <f t="shared" si="9"/>
        <v>0.71999999999999975</v>
      </c>
      <c r="AD114" s="21">
        <v>0.73464349448105903</v>
      </c>
      <c r="AE114" s="22" t="str">
        <f t="shared" si="5"/>
        <v>UC Berkeley Lab</v>
      </c>
      <c r="AF114" s="22" t="s">
        <v>40</v>
      </c>
    </row>
    <row r="115" spans="1:32" x14ac:dyDescent="0.2">
      <c r="A115" s="1">
        <v>206</v>
      </c>
      <c r="B115" s="13">
        <v>43634</v>
      </c>
      <c r="C115" s="1" t="s">
        <v>34</v>
      </c>
      <c r="D115" s="1" t="s">
        <v>4</v>
      </c>
      <c r="E115" s="1" t="s">
        <v>25</v>
      </c>
      <c r="F115" s="15">
        <v>0.64</v>
      </c>
      <c r="G115" s="15">
        <v>0</v>
      </c>
      <c r="H115" s="15">
        <v>4</v>
      </c>
      <c r="I115" s="15">
        <v>0.7</v>
      </c>
      <c r="J115" s="16">
        <v>0.35799999999999998</v>
      </c>
      <c r="K115" s="16">
        <v>1.131</v>
      </c>
      <c r="L115" s="16">
        <f>SUM(J115:K115)</f>
        <v>1.4889999999999999</v>
      </c>
      <c r="M115" s="17" t="s">
        <v>29</v>
      </c>
      <c r="N115" s="18">
        <v>100</v>
      </c>
      <c r="O115" s="18">
        <v>21</v>
      </c>
      <c r="P115" s="15">
        <v>0.1</v>
      </c>
      <c r="Q115" s="1" t="s">
        <v>1</v>
      </c>
      <c r="R115" s="20" t="str">
        <f t="shared" si="4"/>
        <v>horizontal</v>
      </c>
      <c r="S115" s="19">
        <v>-0.1</v>
      </c>
      <c r="T115" s="19">
        <v>0</v>
      </c>
      <c r="U115" s="19">
        <v>0</v>
      </c>
      <c r="V115" s="20">
        <v>0</v>
      </c>
      <c r="W115" s="20">
        <v>-1</v>
      </c>
      <c r="Y115" s="18">
        <v>145</v>
      </c>
      <c r="Z115" s="15">
        <v>100</v>
      </c>
      <c r="AA115" s="16">
        <v>0.38</v>
      </c>
      <c r="AB115" s="16">
        <v>0.36699999999999999</v>
      </c>
      <c r="AC115" s="16">
        <f t="shared" si="9"/>
        <v>0.74199999999999999</v>
      </c>
      <c r="AD115" s="21">
        <v>0.71078342970689201</v>
      </c>
      <c r="AE115" s="22" t="str">
        <f t="shared" si="5"/>
        <v>UC Berkeley Lab</v>
      </c>
      <c r="AF115" s="22" t="s">
        <v>41</v>
      </c>
    </row>
    <row r="116" spans="1:32" x14ac:dyDescent="0.2">
      <c r="A116" s="1">
        <v>207</v>
      </c>
      <c r="B116" s="13">
        <v>43634</v>
      </c>
      <c r="C116" s="1" t="s">
        <v>34</v>
      </c>
      <c r="D116" s="1" t="s">
        <v>9</v>
      </c>
      <c r="E116" s="1" t="s">
        <v>25</v>
      </c>
      <c r="F116" s="15">
        <v>0.64</v>
      </c>
      <c r="G116" s="15">
        <v>0</v>
      </c>
      <c r="H116" s="15">
        <v>4</v>
      </c>
      <c r="I116" s="15">
        <v>0.7</v>
      </c>
      <c r="J116" s="16">
        <v>0.34</v>
      </c>
      <c r="K116" s="16">
        <v>1.135</v>
      </c>
      <c r="L116" s="16">
        <f t="shared" si="7"/>
        <v>1.4750000000000001</v>
      </c>
      <c r="M116" s="17" t="s">
        <v>29</v>
      </c>
      <c r="N116" s="18">
        <v>100</v>
      </c>
      <c r="O116" s="18">
        <v>21</v>
      </c>
      <c r="P116" s="15">
        <v>0.1</v>
      </c>
      <c r="Q116" s="1" t="s">
        <v>1</v>
      </c>
      <c r="R116" s="20" t="str">
        <f t="shared" si="4"/>
        <v>horizontal</v>
      </c>
      <c r="S116" s="19">
        <v>-0.1</v>
      </c>
      <c r="T116" s="19">
        <v>0</v>
      </c>
      <c r="U116" s="19">
        <v>0</v>
      </c>
      <c r="V116" s="20">
        <v>0</v>
      </c>
      <c r="W116" s="20">
        <v>-1</v>
      </c>
      <c r="Y116" s="18">
        <v>18</v>
      </c>
      <c r="Z116" s="15">
        <v>100</v>
      </c>
      <c r="AA116" s="16">
        <v>0.34300000000000003</v>
      </c>
      <c r="AB116" s="16">
        <v>0.33700000000000002</v>
      </c>
      <c r="AC116" s="16">
        <f t="shared" si="9"/>
        <v>0.79500000000000015</v>
      </c>
      <c r="AD116" s="21">
        <v>0.56751670915504604</v>
      </c>
      <c r="AE116" s="22" t="str">
        <f t="shared" si="5"/>
        <v>UC Berkeley Lab</v>
      </c>
      <c r="AF116" s="22" t="s">
        <v>37</v>
      </c>
    </row>
    <row r="117" spans="1:32" ht="15.75" customHeight="1" x14ac:dyDescent="0.2">
      <c r="A117" s="1">
        <v>208</v>
      </c>
      <c r="B117" s="13">
        <v>43634</v>
      </c>
      <c r="C117" s="1" t="s">
        <v>34</v>
      </c>
      <c r="D117" s="1" t="s">
        <v>9</v>
      </c>
      <c r="E117" s="1" t="s">
        <v>25</v>
      </c>
      <c r="F117" s="15">
        <v>0.64</v>
      </c>
      <c r="G117" s="15">
        <v>0</v>
      </c>
      <c r="H117" s="15">
        <v>4</v>
      </c>
      <c r="I117" s="15">
        <v>0.7</v>
      </c>
      <c r="J117" s="16">
        <v>0.33600000000000002</v>
      </c>
      <c r="K117" s="16">
        <v>1.131</v>
      </c>
      <c r="L117" s="16">
        <f t="shared" si="7"/>
        <v>1.4670000000000001</v>
      </c>
      <c r="M117" s="17" t="s">
        <v>29</v>
      </c>
      <c r="N117" s="18">
        <v>100</v>
      </c>
      <c r="O117" s="18">
        <v>21</v>
      </c>
      <c r="P117" s="15">
        <v>0.1</v>
      </c>
      <c r="Q117" s="1" t="s">
        <v>1</v>
      </c>
      <c r="R117" s="20" t="str">
        <f t="shared" si="4"/>
        <v>horizontal</v>
      </c>
      <c r="S117" s="19">
        <v>-0.1</v>
      </c>
      <c r="T117" s="19">
        <v>0</v>
      </c>
      <c r="U117" s="19">
        <v>0</v>
      </c>
      <c r="V117" s="20">
        <v>0</v>
      </c>
      <c r="W117" s="20">
        <v>-1</v>
      </c>
      <c r="Y117" s="18">
        <v>31</v>
      </c>
      <c r="Z117" s="15">
        <v>100</v>
      </c>
      <c r="AA117" s="16">
        <v>0.33900000000000002</v>
      </c>
      <c r="AB117" s="16">
        <v>0.34100000000000003</v>
      </c>
      <c r="AC117" s="16">
        <f t="shared" si="9"/>
        <v>0.78700000000000014</v>
      </c>
      <c r="AD117" s="21">
        <v>0.64412809103823199</v>
      </c>
      <c r="AE117" s="22" t="str">
        <f t="shared" si="5"/>
        <v>UC Berkeley Lab</v>
      </c>
      <c r="AF117" s="22" t="s">
        <v>40</v>
      </c>
    </row>
    <row r="118" spans="1:32" x14ac:dyDescent="0.2">
      <c r="A118" s="1">
        <v>209</v>
      </c>
      <c r="B118" s="13">
        <v>43634</v>
      </c>
      <c r="C118" s="1" t="s">
        <v>34</v>
      </c>
      <c r="D118" s="1" t="s">
        <v>5</v>
      </c>
      <c r="E118" s="1" t="s">
        <v>25</v>
      </c>
      <c r="F118" s="15">
        <v>2.41</v>
      </c>
      <c r="G118" s="15">
        <v>2.16</v>
      </c>
      <c r="H118" s="15">
        <v>4</v>
      </c>
      <c r="I118" s="15">
        <v>2.5</v>
      </c>
      <c r="J118" s="16">
        <v>0.96399999999999997</v>
      </c>
      <c r="K118" s="16">
        <v>0.69799999999999995</v>
      </c>
      <c r="L118" s="16">
        <f t="shared" si="7"/>
        <v>1.6619999999999999</v>
      </c>
      <c r="M118" s="17" t="s">
        <v>29</v>
      </c>
      <c r="N118" s="18">
        <v>100</v>
      </c>
      <c r="O118" s="18">
        <v>21</v>
      </c>
      <c r="P118" s="15">
        <v>0.1</v>
      </c>
      <c r="Q118" s="1" t="s">
        <v>1</v>
      </c>
      <c r="R118" s="20" t="str">
        <f t="shared" si="4"/>
        <v>horizontal</v>
      </c>
      <c r="S118" s="19">
        <v>-0.1</v>
      </c>
      <c r="T118" s="19">
        <v>0</v>
      </c>
      <c r="U118" s="19">
        <v>0</v>
      </c>
      <c r="V118" s="20">
        <v>0</v>
      </c>
      <c r="W118" s="20">
        <v>-1</v>
      </c>
      <c r="Y118" s="18">
        <v>13</v>
      </c>
      <c r="Z118" s="15">
        <v>100</v>
      </c>
      <c r="AA118" s="16">
        <v>0.217</v>
      </c>
      <c r="AB118" s="16">
        <v>0.95899999999999996</v>
      </c>
      <c r="AC118" s="16">
        <f t="shared" si="9"/>
        <v>0.48599999999999988</v>
      </c>
      <c r="AD118" s="21">
        <v>0.82925502279219299</v>
      </c>
      <c r="AE118" s="22" t="str">
        <f t="shared" si="5"/>
        <v>UC Berkeley Lab</v>
      </c>
      <c r="AF118" s="22" t="s">
        <v>37</v>
      </c>
    </row>
    <row r="119" spans="1:32" x14ac:dyDescent="0.2">
      <c r="A119" s="1">
        <v>211</v>
      </c>
      <c r="B119" s="13">
        <v>43634</v>
      </c>
      <c r="C119" s="1" t="s">
        <v>34</v>
      </c>
      <c r="D119" s="1" t="s">
        <v>4</v>
      </c>
      <c r="E119" s="1" t="s">
        <v>25</v>
      </c>
      <c r="F119" s="15">
        <v>1.8</v>
      </c>
      <c r="G119" s="15">
        <v>0</v>
      </c>
      <c r="H119" s="15">
        <v>3</v>
      </c>
      <c r="I119" s="15">
        <v>1.8</v>
      </c>
      <c r="J119" s="16">
        <v>2.8050000000000002</v>
      </c>
      <c r="K119" s="16">
        <v>0.41699999999999998</v>
      </c>
      <c r="L119" s="16">
        <f t="shared" si="7"/>
        <v>3.222</v>
      </c>
      <c r="M119" s="17" t="s">
        <v>29</v>
      </c>
      <c r="N119" s="18">
        <v>100</v>
      </c>
      <c r="O119" s="18">
        <v>21</v>
      </c>
      <c r="P119" s="15">
        <v>0.1</v>
      </c>
      <c r="Q119" s="1" t="s">
        <v>1</v>
      </c>
      <c r="R119" s="20" t="str">
        <f t="shared" si="4"/>
        <v>horizontal</v>
      </c>
      <c r="S119" s="19">
        <v>-0.1</v>
      </c>
      <c r="T119" s="19">
        <v>0</v>
      </c>
      <c r="U119" s="19">
        <v>0</v>
      </c>
      <c r="V119" s="20">
        <v>0</v>
      </c>
      <c r="W119" s="20">
        <v>-1</v>
      </c>
      <c r="Y119" s="18">
        <v>21</v>
      </c>
      <c r="Z119" s="15">
        <v>100</v>
      </c>
      <c r="AA119" s="16">
        <v>0.25800000000000001</v>
      </c>
      <c r="AB119" s="16">
        <v>2.8079999999999998</v>
      </c>
      <c r="AC119" s="16">
        <f t="shared" si="9"/>
        <v>0.15600000000000014</v>
      </c>
      <c r="AD119" s="21">
        <v>1.4344436230481199</v>
      </c>
      <c r="AE119" s="22" t="str">
        <f t="shared" si="5"/>
        <v>UC Berkeley Lab</v>
      </c>
      <c r="AF119" s="22" t="s">
        <v>37</v>
      </c>
    </row>
    <row r="120" spans="1:32" ht="15.75" customHeight="1" x14ac:dyDescent="0.2">
      <c r="A120" s="1">
        <v>212</v>
      </c>
      <c r="B120" s="13">
        <v>43634</v>
      </c>
      <c r="C120" s="1" t="s">
        <v>34</v>
      </c>
      <c r="D120" s="1" t="s">
        <v>4</v>
      </c>
      <c r="E120" s="1" t="s">
        <v>25</v>
      </c>
      <c r="F120" s="15">
        <v>1.8</v>
      </c>
      <c r="G120" s="15">
        <v>0</v>
      </c>
      <c r="H120" s="15">
        <v>3</v>
      </c>
      <c r="I120" s="15">
        <v>1.8</v>
      </c>
      <c r="J120" s="16">
        <v>2.806</v>
      </c>
      <c r="K120" s="16">
        <v>0.41299999999999998</v>
      </c>
      <c r="L120" s="16">
        <f t="shared" si="7"/>
        <v>3.2189999999999999</v>
      </c>
      <c r="M120" s="17" t="s">
        <v>29</v>
      </c>
      <c r="N120" s="18">
        <v>100</v>
      </c>
      <c r="O120" s="18">
        <v>21</v>
      </c>
      <c r="P120" s="15">
        <v>0.1</v>
      </c>
      <c r="Q120" s="1" t="s">
        <v>1</v>
      </c>
      <c r="R120" s="20" t="str">
        <f t="shared" si="4"/>
        <v>horizontal</v>
      </c>
      <c r="S120" s="19">
        <v>-0.1</v>
      </c>
      <c r="T120" s="19">
        <v>0</v>
      </c>
      <c r="U120" s="19">
        <v>0</v>
      </c>
      <c r="V120" s="20">
        <v>0</v>
      </c>
      <c r="W120" s="20">
        <v>-1</v>
      </c>
      <c r="Y120" s="18">
        <v>40</v>
      </c>
      <c r="Z120" s="15">
        <v>100</v>
      </c>
      <c r="AA120" s="16">
        <v>0.29199999999999998</v>
      </c>
      <c r="AB120" s="16">
        <v>2.806</v>
      </c>
      <c r="AC120" s="16">
        <f t="shared" si="9"/>
        <v>0.121</v>
      </c>
      <c r="AD120" s="21">
        <v>1.68001465112149</v>
      </c>
      <c r="AE120" s="22" t="str">
        <f t="shared" si="5"/>
        <v>UC Berkeley Lab</v>
      </c>
      <c r="AF120" s="22" t="s">
        <v>40</v>
      </c>
    </row>
    <row r="121" spans="1:32" x14ac:dyDescent="0.2">
      <c r="A121" s="1">
        <v>213</v>
      </c>
      <c r="B121" s="13">
        <v>43634</v>
      </c>
      <c r="C121" s="1" t="s">
        <v>34</v>
      </c>
      <c r="D121" s="1" t="s">
        <v>4</v>
      </c>
      <c r="E121" s="1" t="s">
        <v>25</v>
      </c>
      <c r="F121" s="15">
        <v>1.8</v>
      </c>
      <c r="G121" s="15">
        <v>0</v>
      </c>
      <c r="H121" s="15">
        <v>3</v>
      </c>
      <c r="I121" s="15">
        <v>1.8</v>
      </c>
      <c r="J121" s="16">
        <v>2.8050000000000002</v>
      </c>
      <c r="K121" s="16">
        <v>0.41699999999999998</v>
      </c>
      <c r="L121" s="16">
        <f t="shared" si="7"/>
        <v>3.222</v>
      </c>
      <c r="M121" s="17" t="s">
        <v>29</v>
      </c>
      <c r="N121" s="18">
        <v>100</v>
      </c>
      <c r="O121" s="18">
        <v>21</v>
      </c>
      <c r="P121" s="15">
        <v>0.1</v>
      </c>
      <c r="Q121" s="1" t="s">
        <v>1</v>
      </c>
      <c r="R121" s="20" t="str">
        <f t="shared" si="4"/>
        <v>horizontal</v>
      </c>
      <c r="S121" s="19">
        <v>-0.1</v>
      </c>
      <c r="T121" s="19">
        <v>0</v>
      </c>
      <c r="U121" s="19">
        <v>0</v>
      </c>
      <c r="V121" s="20">
        <v>0</v>
      </c>
      <c r="W121" s="20">
        <v>-1</v>
      </c>
      <c r="Y121" s="18">
        <v>84</v>
      </c>
      <c r="Z121" s="15">
        <v>100</v>
      </c>
      <c r="AA121" s="16">
        <v>0.24399999999999999</v>
      </c>
      <c r="AB121" s="16">
        <v>2.8090000000000002</v>
      </c>
      <c r="AC121" s="16">
        <f t="shared" si="9"/>
        <v>0.16899999999999959</v>
      </c>
      <c r="AD121" s="21">
        <v>1.5461025910445301</v>
      </c>
      <c r="AE121" s="22" t="str">
        <f t="shared" si="5"/>
        <v>UC Berkeley Lab</v>
      </c>
      <c r="AF121" s="22" t="s">
        <v>41</v>
      </c>
    </row>
    <row r="122" spans="1:32" x14ac:dyDescent="0.2">
      <c r="A122" s="1">
        <v>214</v>
      </c>
      <c r="B122" s="13">
        <v>43634</v>
      </c>
      <c r="C122" s="1" t="s">
        <v>34</v>
      </c>
      <c r="D122" s="1" t="s">
        <v>5</v>
      </c>
      <c r="E122" s="1" t="s">
        <v>25</v>
      </c>
      <c r="F122" s="15">
        <v>2.41</v>
      </c>
      <c r="G122" s="15">
        <v>2.16</v>
      </c>
      <c r="H122" s="15">
        <v>4</v>
      </c>
      <c r="I122" s="15">
        <v>2.5</v>
      </c>
      <c r="J122" s="16">
        <v>0.96199999999999997</v>
      </c>
      <c r="K122" s="16">
        <v>0.69599999999999995</v>
      </c>
      <c r="L122" s="16">
        <f t="shared" si="7"/>
        <v>1.6579999999999999</v>
      </c>
      <c r="M122" s="17" t="s">
        <v>29</v>
      </c>
      <c r="N122" s="18">
        <v>100</v>
      </c>
      <c r="O122" s="18">
        <v>21</v>
      </c>
      <c r="P122" s="15">
        <v>0.1</v>
      </c>
      <c r="Q122" s="1" t="s">
        <v>1</v>
      </c>
      <c r="R122" s="20" t="str">
        <f t="shared" si="4"/>
        <v>horizontal</v>
      </c>
      <c r="S122" s="19">
        <v>-0.1</v>
      </c>
      <c r="T122" s="19">
        <v>0</v>
      </c>
      <c r="U122" s="19">
        <v>0</v>
      </c>
      <c r="V122" s="20">
        <v>0</v>
      </c>
      <c r="W122" s="20">
        <v>-1</v>
      </c>
      <c r="Y122" s="18">
        <v>114</v>
      </c>
      <c r="Z122" s="15">
        <v>100</v>
      </c>
      <c r="AA122" s="16">
        <v>0.23699999999999999</v>
      </c>
      <c r="AB122" s="16">
        <v>0.96199999999999997</v>
      </c>
      <c r="AC122" s="16">
        <f t="shared" si="9"/>
        <v>0.45899999999999985</v>
      </c>
      <c r="AD122" s="21">
        <v>0.84929163335879598</v>
      </c>
      <c r="AE122" s="22" t="str">
        <f t="shared" si="5"/>
        <v>UC Berkeley Lab</v>
      </c>
      <c r="AF122" s="22" t="s">
        <v>41</v>
      </c>
    </row>
    <row r="123" spans="1:32" x14ac:dyDescent="0.2">
      <c r="A123" s="1">
        <v>215</v>
      </c>
      <c r="B123" s="13">
        <v>43634</v>
      </c>
      <c r="C123" s="1" t="s">
        <v>34</v>
      </c>
      <c r="D123" s="1" t="s">
        <v>9</v>
      </c>
      <c r="E123" s="1" t="s">
        <v>25</v>
      </c>
      <c r="F123" s="15">
        <v>0.64</v>
      </c>
      <c r="G123" s="15">
        <v>0</v>
      </c>
      <c r="H123" s="15">
        <v>4</v>
      </c>
      <c r="I123" s="15">
        <v>0.7</v>
      </c>
      <c r="J123" s="16">
        <v>0.34100000000000003</v>
      </c>
      <c r="K123" s="16">
        <v>1.1359999999999999</v>
      </c>
      <c r="L123" s="16">
        <f t="shared" si="7"/>
        <v>1.4769999999999999</v>
      </c>
      <c r="M123" s="17" t="s">
        <v>29</v>
      </c>
      <c r="N123" s="18">
        <v>100</v>
      </c>
      <c r="O123" s="18">
        <v>21</v>
      </c>
      <c r="P123" s="15">
        <v>0.1</v>
      </c>
      <c r="Q123" s="1" t="s">
        <v>1</v>
      </c>
      <c r="R123" s="20" t="str">
        <f t="shared" si="4"/>
        <v>horizontal</v>
      </c>
      <c r="S123" s="19">
        <v>-0.1</v>
      </c>
      <c r="T123" s="19">
        <v>0</v>
      </c>
      <c r="U123" s="19">
        <v>0</v>
      </c>
      <c r="V123" s="20">
        <v>0</v>
      </c>
      <c r="W123" s="20">
        <v>-1</v>
      </c>
      <c r="Y123" s="18">
        <v>155</v>
      </c>
      <c r="Z123" s="15">
        <v>100</v>
      </c>
      <c r="AA123" s="16">
        <v>0.316</v>
      </c>
      <c r="AB123" s="16">
        <v>0.34200000000000003</v>
      </c>
      <c r="AC123" s="16">
        <f t="shared" si="9"/>
        <v>0.81899999999999973</v>
      </c>
      <c r="AD123" s="21">
        <v>0.60981222385796297</v>
      </c>
      <c r="AE123" s="22" t="str">
        <f t="shared" si="5"/>
        <v>UC Berkeley Lab</v>
      </c>
      <c r="AF123" s="22" t="s">
        <v>41</v>
      </c>
    </row>
    <row r="124" spans="1:32" x14ac:dyDescent="0.2">
      <c r="A124" s="1">
        <v>217</v>
      </c>
      <c r="B124" s="13">
        <v>43642</v>
      </c>
      <c r="C124" s="1" t="s">
        <v>34</v>
      </c>
      <c r="D124" s="1" t="s">
        <v>4</v>
      </c>
      <c r="E124" s="1" t="s">
        <v>25</v>
      </c>
      <c r="F124" s="15">
        <v>0.64</v>
      </c>
      <c r="G124" s="15">
        <v>0</v>
      </c>
      <c r="H124" s="15">
        <v>4</v>
      </c>
      <c r="I124" s="15">
        <v>0.7</v>
      </c>
      <c r="J124" s="16">
        <v>0.36399999999999999</v>
      </c>
      <c r="K124" s="16">
        <v>1.127</v>
      </c>
      <c r="L124" s="16">
        <f t="shared" si="7"/>
        <v>1.4910000000000001</v>
      </c>
      <c r="M124" s="17" t="s">
        <v>29</v>
      </c>
      <c r="N124" s="18">
        <v>100</v>
      </c>
      <c r="O124" s="18">
        <v>21</v>
      </c>
      <c r="P124" s="15">
        <v>0.1</v>
      </c>
      <c r="Q124" s="1" t="s">
        <v>1</v>
      </c>
      <c r="R124" s="20" t="str">
        <f t="shared" si="4"/>
        <v>horizontal</v>
      </c>
      <c r="S124" s="19">
        <v>-0.1</v>
      </c>
      <c r="T124" s="19">
        <v>0</v>
      </c>
      <c r="U124" s="19">
        <v>0</v>
      </c>
      <c r="V124" s="20">
        <v>0</v>
      </c>
      <c r="W124" s="20">
        <v>-1</v>
      </c>
      <c r="Y124" s="18">
        <v>24</v>
      </c>
      <c r="Z124" s="15">
        <v>100</v>
      </c>
      <c r="AA124" s="16">
        <v>0.38800000000000001</v>
      </c>
      <c r="AB124" s="16">
        <v>0.39500000000000002</v>
      </c>
      <c r="AC124" s="16">
        <f t="shared" si="9"/>
        <v>0.70800000000000018</v>
      </c>
      <c r="AD124" s="21">
        <v>0.68265219755993001</v>
      </c>
      <c r="AE124" s="22" t="str">
        <f t="shared" si="5"/>
        <v>UC Berkeley Lab</v>
      </c>
      <c r="AF124" s="22" t="s">
        <v>37</v>
      </c>
    </row>
    <row r="125" spans="1:32" ht="15.75" customHeight="1" x14ac:dyDescent="0.2">
      <c r="A125" s="1">
        <v>218</v>
      </c>
      <c r="B125" s="13">
        <v>43642</v>
      </c>
      <c r="C125" s="1" t="s">
        <v>34</v>
      </c>
      <c r="D125" s="1" t="s">
        <v>4</v>
      </c>
      <c r="E125" s="1" t="s">
        <v>25</v>
      </c>
      <c r="F125" s="15">
        <v>0.64</v>
      </c>
      <c r="G125" s="15">
        <v>0</v>
      </c>
      <c r="H125" s="15">
        <v>4</v>
      </c>
      <c r="I125" s="15">
        <v>0.7</v>
      </c>
      <c r="J125" s="16">
        <v>0.36199999999999999</v>
      </c>
      <c r="K125" s="16">
        <v>1.123</v>
      </c>
      <c r="L125" s="16">
        <f t="shared" si="7"/>
        <v>1.4849999999999999</v>
      </c>
      <c r="M125" s="17" t="s">
        <v>29</v>
      </c>
      <c r="N125" s="18">
        <v>100</v>
      </c>
      <c r="O125" s="18">
        <v>21</v>
      </c>
      <c r="P125" s="15">
        <v>0.1</v>
      </c>
      <c r="Q125" s="1" t="s">
        <v>1</v>
      </c>
      <c r="R125" s="20" t="str">
        <f t="shared" si="4"/>
        <v>horizontal</v>
      </c>
      <c r="S125" s="19">
        <v>-0.1</v>
      </c>
      <c r="T125" s="19">
        <v>0</v>
      </c>
      <c r="U125" s="19">
        <v>0</v>
      </c>
      <c r="V125" s="20">
        <v>0</v>
      </c>
      <c r="W125" s="20">
        <v>-1</v>
      </c>
      <c r="Y125" s="18">
        <v>32</v>
      </c>
      <c r="Z125" s="15">
        <v>100</v>
      </c>
      <c r="AA125" s="16">
        <v>0.39600000000000002</v>
      </c>
      <c r="AB125" s="16">
        <v>0.38300000000000001</v>
      </c>
      <c r="AC125" s="16">
        <f t="shared" si="9"/>
        <v>0.70599999999999996</v>
      </c>
      <c r="AD125" s="21">
        <v>0.69555877085865203</v>
      </c>
      <c r="AE125" s="22" t="str">
        <f t="shared" si="5"/>
        <v>UC Berkeley Lab</v>
      </c>
      <c r="AF125" s="22" t="s">
        <v>40</v>
      </c>
    </row>
    <row r="126" spans="1:32" ht="15.75" customHeight="1" x14ac:dyDescent="0.2">
      <c r="A126" s="1">
        <v>219</v>
      </c>
      <c r="B126" s="13">
        <v>43642</v>
      </c>
      <c r="C126" s="1" t="s">
        <v>34</v>
      </c>
      <c r="D126" s="1" t="s">
        <v>4</v>
      </c>
      <c r="E126" s="1" t="s">
        <v>25</v>
      </c>
      <c r="F126" s="15">
        <v>0.64</v>
      </c>
      <c r="G126" s="15">
        <v>0</v>
      </c>
      <c r="H126" s="15">
        <v>4</v>
      </c>
      <c r="I126" s="15">
        <v>0.7</v>
      </c>
      <c r="J126" s="16">
        <v>0.37</v>
      </c>
      <c r="K126" s="16">
        <v>1.147</v>
      </c>
      <c r="L126" s="16">
        <f t="shared" si="7"/>
        <v>1.5169999999999999</v>
      </c>
      <c r="M126" s="17" t="s">
        <v>29</v>
      </c>
      <c r="N126" s="18">
        <v>100</v>
      </c>
      <c r="O126" s="18">
        <v>21</v>
      </c>
      <c r="P126" s="15">
        <v>0.1</v>
      </c>
      <c r="Q126" s="1" t="s">
        <v>1</v>
      </c>
      <c r="R126" s="20" t="str">
        <f t="shared" si="4"/>
        <v>horizontal</v>
      </c>
      <c r="S126" s="19">
        <v>-0.1</v>
      </c>
      <c r="T126" s="19">
        <v>0</v>
      </c>
      <c r="U126" s="19">
        <v>0</v>
      </c>
      <c r="V126" s="20">
        <v>0</v>
      </c>
      <c r="W126" s="20">
        <v>-1</v>
      </c>
      <c r="Y126" s="18">
        <v>30</v>
      </c>
      <c r="Z126" s="15">
        <v>100</v>
      </c>
      <c r="AA126" s="16">
        <v>0.371</v>
      </c>
      <c r="AB126" s="16">
        <v>0.39200000000000002</v>
      </c>
      <c r="AC126" s="16">
        <f t="shared" si="9"/>
        <v>0.75399999999999989</v>
      </c>
      <c r="AD126" s="21">
        <v>0.72903695443947902</v>
      </c>
      <c r="AE126" s="22" t="str">
        <f t="shared" si="5"/>
        <v>UC Berkeley Lab</v>
      </c>
      <c r="AF126" s="22" t="s">
        <v>40</v>
      </c>
    </row>
    <row r="127" spans="1:32" x14ac:dyDescent="0.2">
      <c r="A127" s="1">
        <v>220</v>
      </c>
      <c r="B127" s="13">
        <v>43642</v>
      </c>
      <c r="C127" s="1" t="s">
        <v>34</v>
      </c>
      <c r="D127" s="1" t="s">
        <v>4</v>
      </c>
      <c r="E127" s="1" t="s">
        <v>25</v>
      </c>
      <c r="F127" s="15">
        <v>0.64</v>
      </c>
      <c r="G127" s="15">
        <v>0</v>
      </c>
      <c r="H127" s="15">
        <v>4</v>
      </c>
      <c r="I127" s="15">
        <v>0.7</v>
      </c>
      <c r="J127" s="16">
        <v>0.37</v>
      </c>
      <c r="K127" s="16">
        <v>1.1279999999999999</v>
      </c>
      <c r="L127" s="16">
        <f t="shared" si="7"/>
        <v>1.4979999999999998</v>
      </c>
      <c r="M127" s="17" t="s">
        <v>29</v>
      </c>
      <c r="N127" s="18">
        <v>100</v>
      </c>
      <c r="O127" s="18">
        <v>21</v>
      </c>
      <c r="P127" s="15">
        <v>0.1</v>
      </c>
      <c r="Q127" s="1" t="s">
        <v>1</v>
      </c>
      <c r="R127" s="20" t="str">
        <f t="shared" si="4"/>
        <v>horizontal</v>
      </c>
      <c r="S127" s="19">
        <v>-0.1</v>
      </c>
      <c r="T127" s="19">
        <v>0</v>
      </c>
      <c r="U127" s="19">
        <v>0</v>
      </c>
      <c r="V127" s="20">
        <v>0</v>
      </c>
      <c r="W127" s="20">
        <v>-1</v>
      </c>
      <c r="Y127" s="18">
        <v>136</v>
      </c>
      <c r="Z127" s="15">
        <v>100</v>
      </c>
      <c r="AA127" s="16">
        <v>0.36599999999999999</v>
      </c>
      <c r="AB127" s="16">
        <v>0.38</v>
      </c>
      <c r="AC127" s="16">
        <f t="shared" si="9"/>
        <v>0.75199999999999967</v>
      </c>
      <c r="AD127" s="21">
        <v>0.70543017138175701</v>
      </c>
      <c r="AE127" s="22" t="str">
        <f t="shared" si="5"/>
        <v>UC Berkeley Lab</v>
      </c>
      <c r="AF127" s="22" t="s">
        <v>41</v>
      </c>
    </row>
    <row r="128" spans="1:32" x14ac:dyDescent="0.2">
      <c r="A128" s="1">
        <v>221</v>
      </c>
      <c r="B128" s="13">
        <v>43642</v>
      </c>
      <c r="C128" s="1" t="s">
        <v>34</v>
      </c>
      <c r="D128" s="1" t="s">
        <v>4</v>
      </c>
      <c r="E128" s="1" t="s">
        <v>25</v>
      </c>
      <c r="F128" s="15">
        <v>0.64</v>
      </c>
      <c r="G128" s="15">
        <v>0</v>
      </c>
      <c r="H128" s="15">
        <v>4</v>
      </c>
      <c r="I128" s="15">
        <v>0.7</v>
      </c>
      <c r="J128" s="16">
        <v>0.36699999999999999</v>
      </c>
      <c r="K128" s="16">
        <v>1.129</v>
      </c>
      <c r="L128" s="16">
        <f t="shared" si="7"/>
        <v>1.496</v>
      </c>
      <c r="M128" s="17" t="s">
        <v>29</v>
      </c>
      <c r="N128" s="18">
        <v>100</v>
      </c>
      <c r="O128" s="18">
        <v>21</v>
      </c>
      <c r="P128" s="15">
        <v>0.1</v>
      </c>
      <c r="Q128" s="1" t="s">
        <v>1</v>
      </c>
      <c r="R128" s="20" t="str">
        <f t="shared" si="4"/>
        <v>horizontal</v>
      </c>
      <c r="S128" s="19">
        <v>-0.1</v>
      </c>
      <c r="T128" s="19">
        <v>0</v>
      </c>
      <c r="U128" s="19">
        <v>0</v>
      </c>
      <c r="V128" s="20">
        <v>0</v>
      </c>
      <c r="W128" s="20">
        <v>-1</v>
      </c>
      <c r="Y128" s="18">
        <v>18</v>
      </c>
      <c r="Z128" s="15">
        <v>100</v>
      </c>
      <c r="AA128" s="16">
        <v>0.39200000000000002</v>
      </c>
      <c r="AB128" s="16">
        <v>0.38900000000000001</v>
      </c>
      <c r="AC128" s="16">
        <f t="shared" si="9"/>
        <v>0.71500000000000008</v>
      </c>
      <c r="AD128" s="21">
        <v>0.72574933819166199</v>
      </c>
      <c r="AE128" s="22" t="str">
        <f t="shared" si="5"/>
        <v>UC Berkeley Lab</v>
      </c>
      <c r="AF128" s="22" t="s">
        <v>37</v>
      </c>
    </row>
    <row r="129" spans="1:32" x14ac:dyDescent="0.2">
      <c r="A129" s="1">
        <v>225</v>
      </c>
      <c r="B129" s="13">
        <v>43642</v>
      </c>
      <c r="C129" s="1" t="s">
        <v>34</v>
      </c>
      <c r="D129" s="1" t="s">
        <v>4</v>
      </c>
      <c r="E129" s="1" t="s">
        <v>25</v>
      </c>
      <c r="F129" s="15">
        <v>2.5</v>
      </c>
      <c r="G129" s="15">
        <v>0</v>
      </c>
      <c r="H129" s="15">
        <v>4</v>
      </c>
      <c r="I129" s="15">
        <v>2.5</v>
      </c>
      <c r="J129" s="16">
        <v>5.4240000000000004</v>
      </c>
      <c r="K129" s="16">
        <v>0.69599999999999995</v>
      </c>
      <c r="L129" s="16">
        <f t="shared" si="7"/>
        <v>6.12</v>
      </c>
      <c r="M129" s="17" t="s">
        <v>29</v>
      </c>
      <c r="N129" s="18">
        <v>100</v>
      </c>
      <c r="O129" s="18">
        <v>21</v>
      </c>
      <c r="P129" s="15">
        <v>0.1</v>
      </c>
      <c r="Q129" s="1" t="s">
        <v>1</v>
      </c>
      <c r="R129" s="20" t="str">
        <f t="shared" si="4"/>
        <v>horizontal</v>
      </c>
      <c r="S129" s="19">
        <v>-0.1</v>
      </c>
      <c r="T129" s="19">
        <v>0</v>
      </c>
      <c r="U129" s="19">
        <v>0</v>
      </c>
      <c r="V129" s="20">
        <v>0</v>
      </c>
      <c r="W129" s="20">
        <v>-1</v>
      </c>
      <c r="Y129" s="18">
        <v>13</v>
      </c>
      <c r="Z129" s="15">
        <v>100</v>
      </c>
      <c r="AA129" s="16">
        <v>0.40300000000000002</v>
      </c>
      <c r="AB129" s="16">
        <v>5.4340000000000002</v>
      </c>
      <c r="AC129" s="16">
        <f t="shared" si="9"/>
        <v>0.28300000000000036</v>
      </c>
      <c r="AD129" s="21">
        <v>1.2686447453418901</v>
      </c>
      <c r="AE129" s="22" t="str">
        <f t="shared" si="5"/>
        <v>UC Berkeley Lab</v>
      </c>
      <c r="AF129" s="22" t="s">
        <v>37</v>
      </c>
    </row>
    <row r="130" spans="1:32" x14ac:dyDescent="0.2">
      <c r="A130" s="1">
        <v>230</v>
      </c>
      <c r="B130" s="13">
        <v>43643</v>
      </c>
      <c r="C130" s="1" t="s">
        <v>34</v>
      </c>
      <c r="D130" s="1" t="s">
        <v>5</v>
      </c>
      <c r="E130" s="1" t="s">
        <v>25</v>
      </c>
      <c r="F130" s="15">
        <v>2.4</v>
      </c>
      <c r="G130" s="15">
        <v>2.2000000000000002</v>
      </c>
      <c r="H130" s="15">
        <v>4</v>
      </c>
      <c r="I130" s="15">
        <v>2.5</v>
      </c>
      <c r="J130" s="16">
        <v>0.96199999999999997</v>
      </c>
      <c r="K130" s="16">
        <v>0.69599999999999995</v>
      </c>
      <c r="L130" s="16">
        <f t="shared" ref="L130:L233" si="10">SUM(J130:K130)</f>
        <v>1.6579999999999999</v>
      </c>
      <c r="M130" s="17" t="s">
        <v>29</v>
      </c>
      <c r="N130" s="18">
        <v>100</v>
      </c>
      <c r="O130" s="18">
        <v>21</v>
      </c>
      <c r="P130" s="15">
        <v>0.1</v>
      </c>
      <c r="Q130" s="1" t="s">
        <v>1</v>
      </c>
      <c r="R130" s="20" t="str">
        <f t="shared" si="4"/>
        <v>horizontal</v>
      </c>
      <c r="S130" s="19">
        <v>-0.1</v>
      </c>
      <c r="T130" s="19">
        <v>0</v>
      </c>
      <c r="U130" s="19">
        <v>0</v>
      </c>
      <c r="V130" s="20">
        <v>0</v>
      </c>
      <c r="W130" s="20">
        <v>-1</v>
      </c>
      <c r="Y130" s="18">
        <v>15</v>
      </c>
      <c r="Z130" s="15">
        <v>100</v>
      </c>
      <c r="AA130" s="16">
        <v>0.22500000000000001</v>
      </c>
      <c r="AB130" s="16">
        <v>0.95699999999999996</v>
      </c>
      <c r="AC130" s="16">
        <f t="shared" si="9"/>
        <v>0.47599999999999987</v>
      </c>
      <c r="AD130" s="21">
        <v>0.89650868724284705</v>
      </c>
      <c r="AE130" s="22" t="str">
        <f t="shared" si="5"/>
        <v>UC Berkeley Lab</v>
      </c>
      <c r="AF130" s="22" t="s">
        <v>37</v>
      </c>
    </row>
    <row r="131" spans="1:32" x14ac:dyDescent="0.2">
      <c r="A131" s="1">
        <v>233</v>
      </c>
      <c r="B131" s="13">
        <v>43643</v>
      </c>
      <c r="C131" s="1" t="s">
        <v>34</v>
      </c>
      <c r="D131" s="1" t="s">
        <v>5</v>
      </c>
      <c r="E131" s="1" t="s">
        <v>25</v>
      </c>
      <c r="F131" s="15">
        <v>2.4</v>
      </c>
      <c r="G131" s="15">
        <v>2.2000000000000002</v>
      </c>
      <c r="H131" s="15">
        <v>4</v>
      </c>
      <c r="I131" s="15">
        <v>2.5</v>
      </c>
      <c r="J131" s="16">
        <v>0.97099999999999997</v>
      </c>
      <c r="K131" s="16">
        <v>0.69699999999999995</v>
      </c>
      <c r="L131" s="16">
        <f t="shared" si="10"/>
        <v>1.6679999999999999</v>
      </c>
      <c r="M131" s="17" t="s">
        <v>29</v>
      </c>
      <c r="N131" s="18">
        <v>100</v>
      </c>
      <c r="O131" s="18">
        <v>21</v>
      </c>
      <c r="P131" s="15">
        <v>0.1</v>
      </c>
      <c r="Q131" s="1" t="s">
        <v>1</v>
      </c>
      <c r="R131" s="20" t="str">
        <f t="shared" si="4"/>
        <v>horizontal</v>
      </c>
      <c r="S131" s="19">
        <v>-0.1</v>
      </c>
      <c r="T131" s="19">
        <v>0</v>
      </c>
      <c r="U131" s="19">
        <v>0</v>
      </c>
      <c r="V131" s="20">
        <v>0</v>
      </c>
      <c r="W131" s="20">
        <v>-1</v>
      </c>
      <c r="Y131" s="18">
        <v>115</v>
      </c>
      <c r="Z131" s="15">
        <v>100</v>
      </c>
      <c r="AA131" s="16">
        <v>0.223</v>
      </c>
      <c r="AB131" s="16">
        <v>0.97299999999999998</v>
      </c>
      <c r="AC131" s="16">
        <f t="shared" si="9"/>
        <v>0.47199999999999986</v>
      </c>
      <c r="AD131" s="21">
        <v>0.86207932426204903</v>
      </c>
      <c r="AE131" s="22" t="str">
        <f t="shared" si="5"/>
        <v>UC Berkeley Lab</v>
      </c>
      <c r="AF131" s="22" t="s">
        <v>41</v>
      </c>
    </row>
    <row r="132" spans="1:32" x14ac:dyDescent="0.2">
      <c r="A132" s="1">
        <v>235</v>
      </c>
      <c r="B132" s="13">
        <v>43643</v>
      </c>
      <c r="C132" s="1" t="s">
        <v>34</v>
      </c>
      <c r="D132" s="1" t="s">
        <v>4</v>
      </c>
      <c r="E132" s="1" t="s">
        <v>25</v>
      </c>
      <c r="F132" s="15">
        <v>0.64</v>
      </c>
      <c r="G132" s="15">
        <v>0</v>
      </c>
      <c r="H132" s="15">
        <v>4</v>
      </c>
      <c r="I132" s="15">
        <v>0.7</v>
      </c>
      <c r="J132" s="16">
        <v>0.36499999999999999</v>
      </c>
      <c r="K132" s="16">
        <v>1.1259999999999999</v>
      </c>
      <c r="L132" s="16">
        <f t="shared" si="10"/>
        <v>1.4909999999999999</v>
      </c>
      <c r="M132" s="17" t="s">
        <v>29</v>
      </c>
      <c r="N132" s="18">
        <v>100</v>
      </c>
      <c r="O132" s="18">
        <v>21</v>
      </c>
      <c r="P132" s="15">
        <v>0.1</v>
      </c>
      <c r="Q132" s="1" t="s">
        <v>1</v>
      </c>
      <c r="R132" s="20" t="str">
        <f t="shared" ref="R132:R195" si="11">R131</f>
        <v>horizontal</v>
      </c>
      <c r="S132" s="19">
        <v>-0.1</v>
      </c>
      <c r="T132" s="19">
        <v>0</v>
      </c>
      <c r="U132" s="19">
        <v>0</v>
      </c>
      <c r="V132" s="20">
        <v>0</v>
      </c>
      <c r="W132" s="20">
        <v>-1</v>
      </c>
      <c r="Y132" s="18">
        <v>135</v>
      </c>
      <c r="Z132" s="15">
        <v>100</v>
      </c>
      <c r="AA132" s="16">
        <v>0.38700000000000001</v>
      </c>
      <c r="AB132" s="16">
        <v>0.379</v>
      </c>
      <c r="AC132" s="16">
        <f t="shared" si="9"/>
        <v>0.72499999999999987</v>
      </c>
      <c r="AD132" s="21">
        <v>0.77649977446132601</v>
      </c>
      <c r="AE132" s="22" t="str">
        <f t="shared" ref="AE132:AE195" si="12">AE131</f>
        <v>UC Berkeley Lab</v>
      </c>
      <c r="AF132" s="22" t="s">
        <v>41</v>
      </c>
    </row>
    <row r="133" spans="1:32" x14ac:dyDescent="0.2">
      <c r="A133" s="1">
        <v>236</v>
      </c>
      <c r="B133" s="13">
        <v>43643</v>
      </c>
      <c r="C133" s="1" t="s">
        <v>34</v>
      </c>
      <c r="D133" s="1" t="s">
        <v>9</v>
      </c>
      <c r="E133" s="1" t="s">
        <v>25</v>
      </c>
      <c r="F133" s="15">
        <v>0.64</v>
      </c>
      <c r="G133" s="15">
        <v>0</v>
      </c>
      <c r="H133" s="15">
        <v>4</v>
      </c>
      <c r="I133" s="15">
        <v>0.7</v>
      </c>
      <c r="J133" s="16">
        <v>0.34100000000000003</v>
      </c>
      <c r="K133" s="16">
        <v>1.1259999999999999</v>
      </c>
      <c r="L133" s="16">
        <f t="shared" si="10"/>
        <v>1.4669999999999999</v>
      </c>
      <c r="M133" s="17" t="s">
        <v>29</v>
      </c>
      <c r="N133" s="18">
        <v>100</v>
      </c>
      <c r="O133" s="18">
        <v>21</v>
      </c>
      <c r="P133" s="15">
        <v>0.1</v>
      </c>
      <c r="Q133" s="1" t="s">
        <v>1</v>
      </c>
      <c r="R133" s="20" t="str">
        <f t="shared" si="11"/>
        <v>horizontal</v>
      </c>
      <c r="S133" s="19">
        <v>-0.1</v>
      </c>
      <c r="T133" s="19">
        <v>0</v>
      </c>
      <c r="U133" s="19">
        <v>0</v>
      </c>
      <c r="V133" s="20">
        <v>0</v>
      </c>
      <c r="W133" s="20">
        <v>-1</v>
      </c>
      <c r="Y133" s="18">
        <v>18</v>
      </c>
      <c r="Z133" s="15">
        <v>100</v>
      </c>
      <c r="AA133" s="16">
        <v>0.34200000000000003</v>
      </c>
      <c r="AB133" s="16">
        <v>0.34300000000000003</v>
      </c>
      <c r="AC133" s="16">
        <f t="shared" si="9"/>
        <v>0.78199999999999981</v>
      </c>
      <c r="AD133" s="21">
        <v>0.64371183032101298</v>
      </c>
      <c r="AE133" s="22" t="str">
        <f t="shared" si="12"/>
        <v>UC Berkeley Lab</v>
      </c>
      <c r="AF133" s="22" t="s">
        <v>37</v>
      </c>
    </row>
    <row r="134" spans="1:32" x14ac:dyDescent="0.2">
      <c r="A134" s="1">
        <v>237</v>
      </c>
      <c r="B134" s="13">
        <v>43643</v>
      </c>
      <c r="C134" s="1" t="s">
        <v>34</v>
      </c>
      <c r="D134" s="1" t="s">
        <v>9</v>
      </c>
      <c r="E134" s="1" t="s">
        <v>25</v>
      </c>
      <c r="F134" s="15">
        <v>0.64</v>
      </c>
      <c r="G134" s="15">
        <v>0</v>
      </c>
      <c r="H134" s="15">
        <v>4</v>
      </c>
      <c r="I134" s="15">
        <v>0.7</v>
      </c>
      <c r="J134" s="16">
        <v>0.34100000000000003</v>
      </c>
      <c r="K134" s="16">
        <v>1.137</v>
      </c>
      <c r="L134" s="16">
        <f t="shared" si="10"/>
        <v>1.478</v>
      </c>
      <c r="M134" s="17" t="s">
        <v>29</v>
      </c>
      <c r="N134" s="18">
        <v>100</v>
      </c>
      <c r="O134" s="18">
        <v>21</v>
      </c>
      <c r="P134" s="15">
        <v>0.1</v>
      </c>
      <c r="Q134" s="1" t="s">
        <v>1</v>
      </c>
      <c r="R134" s="20" t="str">
        <f t="shared" si="11"/>
        <v>horizontal</v>
      </c>
      <c r="S134" s="19">
        <v>-0.1</v>
      </c>
      <c r="T134" s="19">
        <v>0</v>
      </c>
      <c r="U134" s="19">
        <v>0</v>
      </c>
      <c r="V134" s="20">
        <v>0</v>
      </c>
      <c r="W134" s="20">
        <v>-1</v>
      </c>
      <c r="Y134" s="18">
        <v>20</v>
      </c>
      <c r="Z134" s="15">
        <v>100</v>
      </c>
      <c r="AA134" s="16">
        <v>0.32800000000000001</v>
      </c>
      <c r="AB134" s="16">
        <v>0.34399999999999997</v>
      </c>
      <c r="AC134" s="16">
        <f t="shared" si="9"/>
        <v>0.80599999999999994</v>
      </c>
      <c r="AD134" s="21">
        <v>0.61806704750455399</v>
      </c>
      <c r="AE134" s="22" t="str">
        <f t="shared" si="12"/>
        <v>UC Berkeley Lab</v>
      </c>
      <c r="AF134" s="22" t="s">
        <v>37</v>
      </c>
    </row>
    <row r="135" spans="1:32" x14ac:dyDescent="0.2">
      <c r="A135" s="1">
        <v>238</v>
      </c>
      <c r="B135" s="13">
        <v>43643</v>
      </c>
      <c r="C135" s="1" t="s">
        <v>34</v>
      </c>
      <c r="D135" s="1" t="s">
        <v>9</v>
      </c>
      <c r="E135" s="1" t="s">
        <v>25</v>
      </c>
      <c r="F135" s="15">
        <v>0.64</v>
      </c>
      <c r="G135" s="15">
        <v>0</v>
      </c>
      <c r="H135" s="15">
        <v>4</v>
      </c>
      <c r="I135" s="15">
        <v>0.7</v>
      </c>
      <c r="J135" s="16">
        <v>0.34300000000000003</v>
      </c>
      <c r="K135" s="16">
        <v>1.131</v>
      </c>
      <c r="L135" s="16">
        <f t="shared" si="10"/>
        <v>1.474</v>
      </c>
      <c r="M135" s="17" t="s">
        <v>29</v>
      </c>
      <c r="N135" s="18">
        <v>100</v>
      </c>
      <c r="O135" s="18">
        <v>21</v>
      </c>
      <c r="P135" s="15">
        <v>0.1</v>
      </c>
      <c r="Q135" s="1" t="s">
        <v>1</v>
      </c>
      <c r="R135" s="20" t="str">
        <f t="shared" si="11"/>
        <v>horizontal</v>
      </c>
      <c r="S135" s="19">
        <v>-0.1</v>
      </c>
      <c r="T135" s="19">
        <v>0</v>
      </c>
      <c r="U135" s="19">
        <v>0</v>
      </c>
      <c r="V135" s="20">
        <v>0</v>
      </c>
      <c r="W135" s="20">
        <v>-1</v>
      </c>
      <c r="Y135" s="18">
        <v>175</v>
      </c>
      <c r="Z135" s="15">
        <v>100</v>
      </c>
      <c r="AA135" s="16">
        <v>0.36899999999999999</v>
      </c>
      <c r="AB135" s="16">
        <v>0.34399999999999997</v>
      </c>
      <c r="AC135" s="16">
        <f t="shared" si="9"/>
        <v>0.76100000000000001</v>
      </c>
      <c r="AD135" s="21">
        <v>0.56233763890940802</v>
      </c>
      <c r="AE135" s="22" t="str">
        <f t="shared" si="12"/>
        <v>UC Berkeley Lab</v>
      </c>
      <c r="AF135" s="22" t="s">
        <v>41</v>
      </c>
    </row>
    <row r="136" spans="1:32" ht="15.75" customHeight="1" x14ac:dyDescent="0.2">
      <c r="A136" s="1">
        <v>239</v>
      </c>
      <c r="B136" s="13">
        <v>43643</v>
      </c>
      <c r="C136" s="1" t="s">
        <v>34</v>
      </c>
      <c r="D136" s="1" t="s">
        <v>9</v>
      </c>
      <c r="E136" s="1" t="s">
        <v>25</v>
      </c>
      <c r="F136" s="15">
        <v>0.64</v>
      </c>
      <c r="G136" s="15">
        <v>0</v>
      </c>
      <c r="H136" s="15">
        <v>4</v>
      </c>
      <c r="I136" s="15">
        <v>0.7</v>
      </c>
      <c r="J136" s="16">
        <v>0.34200000000000003</v>
      </c>
      <c r="K136" s="16">
        <v>1.1279999999999999</v>
      </c>
      <c r="L136" s="16">
        <f t="shared" si="10"/>
        <v>1.47</v>
      </c>
      <c r="M136" s="17" t="s">
        <v>29</v>
      </c>
      <c r="N136" s="18">
        <v>100</v>
      </c>
      <c r="O136" s="18">
        <v>21</v>
      </c>
      <c r="P136" s="15">
        <v>0.1</v>
      </c>
      <c r="Q136" s="1" t="s">
        <v>1</v>
      </c>
      <c r="R136" s="20" t="str">
        <f t="shared" si="11"/>
        <v>horizontal</v>
      </c>
      <c r="S136" s="19">
        <v>-0.1</v>
      </c>
      <c r="T136" s="19">
        <v>0</v>
      </c>
      <c r="U136" s="19">
        <v>0</v>
      </c>
      <c r="V136" s="20">
        <v>0</v>
      </c>
      <c r="W136" s="20">
        <v>-1</v>
      </c>
      <c r="Y136" s="18">
        <v>29</v>
      </c>
      <c r="Z136" s="15">
        <v>100</v>
      </c>
      <c r="AA136" s="16">
        <v>0.35</v>
      </c>
      <c r="AB136" s="16">
        <v>0.33600000000000002</v>
      </c>
      <c r="AC136" s="16">
        <f t="shared" si="9"/>
        <v>0.78400000000000003</v>
      </c>
      <c r="AD136" s="21">
        <v>0.656774634790806</v>
      </c>
      <c r="AE136" s="22" t="str">
        <f t="shared" si="12"/>
        <v>UC Berkeley Lab</v>
      </c>
      <c r="AF136" s="22" t="s">
        <v>40</v>
      </c>
    </row>
    <row r="137" spans="1:32" ht="15.75" customHeight="1" x14ac:dyDescent="0.2">
      <c r="A137" s="1">
        <v>240</v>
      </c>
      <c r="B137" s="13">
        <v>43643</v>
      </c>
      <c r="C137" s="1" t="s">
        <v>34</v>
      </c>
      <c r="D137" s="1" t="s">
        <v>9</v>
      </c>
      <c r="E137" s="1" t="s">
        <v>25</v>
      </c>
      <c r="F137" s="15">
        <v>0.64</v>
      </c>
      <c r="G137" s="15">
        <v>0</v>
      </c>
      <c r="H137" s="15">
        <v>4</v>
      </c>
      <c r="I137" s="15">
        <v>0.7</v>
      </c>
      <c r="J137" s="16">
        <v>0.33500000000000002</v>
      </c>
      <c r="K137" s="16">
        <v>1.131</v>
      </c>
      <c r="L137" s="16">
        <f t="shared" si="10"/>
        <v>1.466</v>
      </c>
      <c r="M137" s="17" t="s">
        <v>29</v>
      </c>
      <c r="N137" s="18">
        <v>100</v>
      </c>
      <c r="O137" s="18">
        <v>21</v>
      </c>
      <c r="P137" s="15">
        <v>0.1</v>
      </c>
      <c r="Q137" s="1" t="s">
        <v>1</v>
      </c>
      <c r="R137" s="20" t="str">
        <f t="shared" si="11"/>
        <v>horizontal</v>
      </c>
      <c r="S137" s="19">
        <v>-0.1</v>
      </c>
      <c r="T137" s="19">
        <v>0</v>
      </c>
      <c r="U137" s="19">
        <v>0</v>
      </c>
      <c r="V137" s="20">
        <v>0</v>
      </c>
      <c r="W137" s="20">
        <v>-1</v>
      </c>
      <c r="Y137" s="18">
        <v>26</v>
      </c>
      <c r="Z137" s="15">
        <v>100</v>
      </c>
      <c r="AA137" s="16">
        <v>0.33</v>
      </c>
      <c r="AB137" s="16">
        <v>0.34300000000000003</v>
      </c>
      <c r="AC137" s="16">
        <f t="shared" si="9"/>
        <v>0.79299999999999993</v>
      </c>
      <c r="AD137" s="21">
        <v>0.55062036409854698</v>
      </c>
      <c r="AE137" s="22" t="str">
        <f t="shared" si="12"/>
        <v>UC Berkeley Lab</v>
      </c>
      <c r="AF137" s="22" t="s">
        <v>40</v>
      </c>
    </row>
    <row r="138" spans="1:32" x14ac:dyDescent="0.2">
      <c r="A138" s="1">
        <v>243</v>
      </c>
      <c r="B138" s="13">
        <v>43643</v>
      </c>
      <c r="C138" s="1" t="s">
        <v>34</v>
      </c>
      <c r="D138" s="1" t="s">
        <v>4</v>
      </c>
      <c r="E138" s="1" t="s">
        <v>25</v>
      </c>
      <c r="F138" s="15">
        <v>1.8</v>
      </c>
      <c r="G138" s="15">
        <v>0</v>
      </c>
      <c r="H138" s="15">
        <v>3</v>
      </c>
      <c r="I138" s="15">
        <v>1.8</v>
      </c>
      <c r="J138" s="16">
        <v>2.806</v>
      </c>
      <c r="K138" s="16">
        <v>0.41499999999999998</v>
      </c>
      <c r="L138" s="16">
        <f t="shared" si="10"/>
        <v>3.2210000000000001</v>
      </c>
      <c r="M138" s="17" t="s">
        <v>29</v>
      </c>
      <c r="N138" s="18">
        <v>100</v>
      </c>
      <c r="O138" s="18">
        <v>21</v>
      </c>
      <c r="P138" s="15">
        <v>0.1</v>
      </c>
      <c r="Q138" s="1" t="s">
        <v>1</v>
      </c>
      <c r="R138" s="20" t="str">
        <f t="shared" si="11"/>
        <v>horizontal</v>
      </c>
      <c r="S138" s="19">
        <v>-0.1</v>
      </c>
      <c r="T138" s="19">
        <v>0</v>
      </c>
      <c r="U138" s="19">
        <v>0</v>
      </c>
      <c r="V138" s="20">
        <v>0</v>
      </c>
      <c r="W138" s="20">
        <v>-1</v>
      </c>
      <c r="Y138" s="18">
        <v>17</v>
      </c>
      <c r="Z138" s="15">
        <v>100</v>
      </c>
      <c r="AA138" s="16">
        <v>0.26200000000000001</v>
      </c>
      <c r="AB138" s="16">
        <v>2.8109999999999999</v>
      </c>
      <c r="AC138" s="16">
        <f t="shared" si="9"/>
        <v>0.14800000000000013</v>
      </c>
      <c r="AD138" s="21">
        <v>1.3761990765355501</v>
      </c>
      <c r="AE138" s="22" t="str">
        <f t="shared" si="12"/>
        <v>UC Berkeley Lab</v>
      </c>
      <c r="AF138" s="22" t="s">
        <v>37</v>
      </c>
    </row>
    <row r="139" spans="1:32" x14ac:dyDescent="0.2">
      <c r="A139" s="1">
        <v>244</v>
      </c>
      <c r="B139" s="13">
        <v>43643</v>
      </c>
      <c r="C139" s="1" t="s">
        <v>34</v>
      </c>
      <c r="D139" s="1" t="s">
        <v>4</v>
      </c>
      <c r="E139" s="1" t="s">
        <v>25</v>
      </c>
      <c r="F139" s="15">
        <v>1.8</v>
      </c>
      <c r="G139" s="15">
        <v>0</v>
      </c>
      <c r="H139" s="15">
        <v>3</v>
      </c>
      <c r="I139" s="15">
        <v>1.8</v>
      </c>
      <c r="J139" s="16">
        <v>2.8039999999999998</v>
      </c>
      <c r="K139" s="16">
        <v>0.41499999999999998</v>
      </c>
      <c r="L139" s="16">
        <f t="shared" si="10"/>
        <v>3.2189999999999999</v>
      </c>
      <c r="M139" s="17" t="s">
        <v>29</v>
      </c>
      <c r="N139" s="18">
        <v>100</v>
      </c>
      <c r="O139" s="18">
        <v>21</v>
      </c>
      <c r="P139" s="15">
        <v>0.1</v>
      </c>
      <c r="Q139" s="1" t="s">
        <v>1</v>
      </c>
      <c r="R139" s="20" t="str">
        <f t="shared" si="11"/>
        <v>horizontal</v>
      </c>
      <c r="S139" s="19">
        <v>-0.1</v>
      </c>
      <c r="T139" s="19">
        <v>0</v>
      </c>
      <c r="U139" s="19">
        <v>0</v>
      </c>
      <c r="V139" s="20">
        <v>0</v>
      </c>
      <c r="W139" s="20">
        <v>-1</v>
      </c>
      <c r="Y139" s="18">
        <v>81</v>
      </c>
      <c r="Z139" s="15">
        <v>100</v>
      </c>
      <c r="AA139" s="16">
        <v>0.24199999999999999</v>
      </c>
      <c r="AB139" s="16">
        <v>2.8109999999999999</v>
      </c>
      <c r="AC139" s="16">
        <f t="shared" si="9"/>
        <v>0.16599999999999993</v>
      </c>
      <c r="AD139" s="21">
        <v>1.5965391455935101</v>
      </c>
      <c r="AE139" s="22" t="str">
        <f t="shared" si="12"/>
        <v>UC Berkeley Lab</v>
      </c>
      <c r="AF139" s="22" t="s">
        <v>41</v>
      </c>
    </row>
    <row r="140" spans="1:32" ht="15.75" customHeight="1" x14ac:dyDescent="0.2">
      <c r="A140" s="1">
        <v>245</v>
      </c>
      <c r="B140" s="13">
        <v>43643</v>
      </c>
      <c r="C140" s="1" t="s">
        <v>34</v>
      </c>
      <c r="D140" s="1" t="s">
        <v>4</v>
      </c>
      <c r="E140" s="1" t="s">
        <v>25</v>
      </c>
      <c r="F140" s="15">
        <v>1.8</v>
      </c>
      <c r="G140" s="15">
        <v>0</v>
      </c>
      <c r="H140" s="15">
        <v>3</v>
      </c>
      <c r="I140" s="15">
        <v>1.8</v>
      </c>
      <c r="J140" s="16">
        <v>2.806</v>
      </c>
      <c r="K140" s="16">
        <v>0.41699999999999998</v>
      </c>
      <c r="L140" s="16">
        <f t="shared" si="10"/>
        <v>3.2229999999999999</v>
      </c>
      <c r="M140" s="17" t="s">
        <v>29</v>
      </c>
      <c r="N140" s="18">
        <v>100</v>
      </c>
      <c r="O140" s="18">
        <v>21</v>
      </c>
      <c r="P140" s="15">
        <v>0.1</v>
      </c>
      <c r="Q140" s="1" t="s">
        <v>1</v>
      </c>
      <c r="R140" s="20" t="str">
        <f t="shared" si="11"/>
        <v>horizontal</v>
      </c>
      <c r="S140" s="19">
        <v>-0.1</v>
      </c>
      <c r="T140" s="19">
        <v>0</v>
      </c>
      <c r="U140" s="19">
        <v>0</v>
      </c>
      <c r="V140" s="20">
        <v>0</v>
      </c>
      <c r="W140" s="20">
        <v>-1</v>
      </c>
      <c r="Y140" s="18">
        <v>38</v>
      </c>
      <c r="Z140" s="15">
        <v>100</v>
      </c>
      <c r="AA140" s="16">
        <v>0.251</v>
      </c>
      <c r="AB140" s="16">
        <v>2.8149999999999999</v>
      </c>
      <c r="AC140" s="16">
        <f t="shared" si="9"/>
        <v>0.15700000000000003</v>
      </c>
      <c r="AD140" s="21">
        <v>1.4336330139943401</v>
      </c>
      <c r="AE140" s="22" t="str">
        <f t="shared" si="12"/>
        <v>UC Berkeley Lab</v>
      </c>
      <c r="AF140" s="22" t="s">
        <v>40</v>
      </c>
    </row>
    <row r="141" spans="1:32" x14ac:dyDescent="0.2">
      <c r="A141" s="1">
        <v>247</v>
      </c>
      <c r="B141" s="13">
        <v>43643</v>
      </c>
      <c r="C141" s="1" t="s">
        <v>34</v>
      </c>
      <c r="D141" s="1" t="s">
        <v>4</v>
      </c>
      <c r="E141" s="1" t="s">
        <v>25</v>
      </c>
      <c r="F141" s="15">
        <v>1.8</v>
      </c>
      <c r="G141" s="15">
        <v>0</v>
      </c>
      <c r="H141" s="15">
        <v>3</v>
      </c>
      <c r="I141" s="15">
        <v>1.8</v>
      </c>
      <c r="J141" s="16">
        <v>2.806</v>
      </c>
      <c r="K141" s="16">
        <v>0.41499999999999998</v>
      </c>
      <c r="L141" s="16">
        <f t="shared" si="10"/>
        <v>3.2210000000000001</v>
      </c>
      <c r="M141" s="17" t="s">
        <v>29</v>
      </c>
      <c r="N141" s="18">
        <v>100</v>
      </c>
      <c r="O141" s="18">
        <v>21</v>
      </c>
      <c r="P141" s="15">
        <v>0.1</v>
      </c>
      <c r="Q141" s="1" t="s">
        <v>1</v>
      </c>
      <c r="R141" s="20" t="str">
        <f t="shared" si="11"/>
        <v>horizontal</v>
      </c>
      <c r="S141" s="19">
        <v>-0.1</v>
      </c>
      <c r="T141" s="19">
        <v>0</v>
      </c>
      <c r="U141" s="19">
        <v>0</v>
      </c>
      <c r="V141" s="20">
        <v>0</v>
      </c>
      <c r="W141" s="20">
        <v>-1</v>
      </c>
      <c r="Y141" s="18">
        <v>83</v>
      </c>
      <c r="Z141" s="15">
        <v>100</v>
      </c>
      <c r="AA141" s="16">
        <v>0.23799999999999999</v>
      </c>
      <c r="AB141" s="16">
        <v>2.8180000000000001</v>
      </c>
      <c r="AC141" s="16">
        <f t="shared" si="9"/>
        <v>0.16500000000000004</v>
      </c>
      <c r="AD141" s="21">
        <v>1.72792943574853</v>
      </c>
      <c r="AE141" s="22" t="str">
        <f t="shared" si="12"/>
        <v>UC Berkeley Lab</v>
      </c>
      <c r="AF141" s="22" t="s">
        <v>41</v>
      </c>
    </row>
    <row r="142" spans="1:32" ht="15.75" customHeight="1" x14ac:dyDescent="0.2">
      <c r="A142" s="1">
        <v>248</v>
      </c>
      <c r="B142" s="13">
        <v>43643</v>
      </c>
      <c r="C142" s="1" t="s">
        <v>34</v>
      </c>
      <c r="D142" s="1" t="s">
        <v>4</v>
      </c>
      <c r="E142" s="1" t="s">
        <v>25</v>
      </c>
      <c r="F142" s="15">
        <v>2.5</v>
      </c>
      <c r="G142" s="15">
        <v>0</v>
      </c>
      <c r="H142" s="15">
        <v>4</v>
      </c>
      <c r="I142" s="15">
        <v>2.5</v>
      </c>
      <c r="J142" s="16">
        <v>5.4429999999999996</v>
      </c>
      <c r="K142" s="16">
        <v>0.69799999999999995</v>
      </c>
      <c r="L142" s="16">
        <f t="shared" si="10"/>
        <v>6.141</v>
      </c>
      <c r="M142" s="17" t="s">
        <v>29</v>
      </c>
      <c r="N142" s="18">
        <v>100</v>
      </c>
      <c r="O142" s="18">
        <v>21</v>
      </c>
      <c r="P142" s="15">
        <v>0.1</v>
      </c>
      <c r="Q142" s="1" t="s">
        <v>1</v>
      </c>
      <c r="R142" s="20" t="str">
        <f t="shared" si="11"/>
        <v>horizontal</v>
      </c>
      <c r="S142" s="19">
        <v>-0.1</v>
      </c>
      <c r="T142" s="19">
        <v>0</v>
      </c>
      <c r="U142" s="19">
        <v>0</v>
      </c>
      <c r="V142" s="20">
        <v>0</v>
      </c>
      <c r="W142" s="20">
        <v>-1</v>
      </c>
      <c r="Y142" s="18">
        <v>51</v>
      </c>
      <c r="Z142" s="15">
        <v>100</v>
      </c>
      <c r="AA142" s="16">
        <v>0.37</v>
      </c>
      <c r="AB142" s="16">
        <v>5.4509999999999996</v>
      </c>
      <c r="AC142" s="16">
        <f t="shared" si="9"/>
        <v>0.32000000000000028</v>
      </c>
      <c r="AD142" s="21">
        <v>1.32346810162726</v>
      </c>
      <c r="AE142" s="22" t="str">
        <f t="shared" si="12"/>
        <v>UC Berkeley Lab</v>
      </c>
      <c r="AF142" s="22" t="s">
        <v>40</v>
      </c>
    </row>
    <row r="143" spans="1:32" x14ac:dyDescent="0.2">
      <c r="A143" s="1">
        <v>249</v>
      </c>
      <c r="B143" s="13">
        <v>43643</v>
      </c>
      <c r="C143" s="1" t="s">
        <v>34</v>
      </c>
      <c r="D143" s="1" t="s">
        <v>4</v>
      </c>
      <c r="E143" s="1" t="s">
        <v>25</v>
      </c>
      <c r="F143" s="15">
        <v>2.5</v>
      </c>
      <c r="G143" s="15">
        <v>0</v>
      </c>
      <c r="H143" s="15">
        <v>4</v>
      </c>
      <c r="I143" s="15">
        <v>2.5</v>
      </c>
      <c r="J143" s="16">
        <v>5.4249999999999998</v>
      </c>
      <c r="K143" s="16">
        <v>0.69599999999999995</v>
      </c>
      <c r="L143" s="16">
        <f t="shared" si="10"/>
        <v>6.1209999999999996</v>
      </c>
      <c r="M143" s="17" t="s">
        <v>29</v>
      </c>
      <c r="N143" s="18">
        <v>100</v>
      </c>
      <c r="O143" s="18">
        <v>21</v>
      </c>
      <c r="P143" s="15">
        <v>0.1</v>
      </c>
      <c r="Q143" s="1" t="s">
        <v>1</v>
      </c>
      <c r="R143" s="20" t="str">
        <f t="shared" si="11"/>
        <v>horizontal</v>
      </c>
      <c r="S143" s="19">
        <v>-0.1</v>
      </c>
      <c r="T143" s="19">
        <v>0</v>
      </c>
      <c r="U143" s="19">
        <v>0</v>
      </c>
      <c r="V143" s="20">
        <v>0</v>
      </c>
      <c r="W143" s="20">
        <v>-1</v>
      </c>
      <c r="Y143" s="18">
        <v>17</v>
      </c>
      <c r="Z143" s="15">
        <v>100</v>
      </c>
      <c r="AA143" s="16">
        <v>0.379</v>
      </c>
      <c r="AB143" s="16">
        <v>5.4320000000000004</v>
      </c>
      <c r="AC143" s="16">
        <f t="shared" si="9"/>
        <v>0.30999999999999872</v>
      </c>
      <c r="AD143" s="21">
        <v>1.0396672059710701</v>
      </c>
      <c r="AE143" s="22" t="str">
        <f t="shared" si="12"/>
        <v>UC Berkeley Lab</v>
      </c>
      <c r="AF143" s="22" t="s">
        <v>37</v>
      </c>
    </row>
    <row r="144" spans="1:32" ht="15.75" customHeight="1" x14ac:dyDescent="0.2">
      <c r="A144" s="1">
        <v>251</v>
      </c>
      <c r="B144" s="13">
        <v>43643</v>
      </c>
      <c r="C144" s="1" t="s">
        <v>34</v>
      </c>
      <c r="D144" s="1" t="s">
        <v>4</v>
      </c>
      <c r="E144" s="1" t="s">
        <v>25</v>
      </c>
      <c r="F144" s="15">
        <v>2.5</v>
      </c>
      <c r="G144" s="15">
        <v>0</v>
      </c>
      <c r="H144" s="15">
        <v>4</v>
      </c>
      <c r="I144" s="15">
        <v>2.5</v>
      </c>
      <c r="J144" s="16">
        <v>5.4349999999999996</v>
      </c>
      <c r="K144" s="16">
        <v>0.69499999999999995</v>
      </c>
      <c r="L144" s="16">
        <f t="shared" si="10"/>
        <v>6.13</v>
      </c>
      <c r="M144" s="17" t="s">
        <v>29</v>
      </c>
      <c r="N144" s="18">
        <v>100</v>
      </c>
      <c r="O144" s="18">
        <v>21</v>
      </c>
      <c r="P144" s="15">
        <v>0.1</v>
      </c>
      <c r="Q144" s="1" t="s">
        <v>1</v>
      </c>
      <c r="R144" s="20" t="str">
        <f t="shared" si="11"/>
        <v>horizontal</v>
      </c>
      <c r="S144" s="19">
        <v>-0.1</v>
      </c>
      <c r="T144" s="19">
        <v>0</v>
      </c>
      <c r="U144" s="19">
        <v>0</v>
      </c>
      <c r="V144" s="20">
        <v>0</v>
      </c>
      <c r="W144" s="20">
        <v>-1</v>
      </c>
      <c r="Y144" s="18">
        <v>51</v>
      </c>
      <c r="Z144" s="15">
        <v>100</v>
      </c>
      <c r="AA144" s="16">
        <v>0.35299999999999998</v>
      </c>
      <c r="AB144" s="16">
        <v>5.44</v>
      </c>
      <c r="AC144" s="16">
        <f t="shared" si="9"/>
        <v>0.33699999999999974</v>
      </c>
      <c r="AD144" s="21">
        <v>1.3368529234808</v>
      </c>
      <c r="AE144" s="22" t="str">
        <f t="shared" si="12"/>
        <v>UC Berkeley Lab</v>
      </c>
      <c r="AF144" s="22" t="s">
        <v>40</v>
      </c>
    </row>
    <row r="145" spans="1:32" x14ac:dyDescent="0.2">
      <c r="A145" s="1">
        <v>252</v>
      </c>
      <c r="B145" s="13">
        <v>43643</v>
      </c>
      <c r="C145" s="1" t="s">
        <v>34</v>
      </c>
      <c r="D145" s="1" t="s">
        <v>4</v>
      </c>
      <c r="E145" s="1" t="s">
        <v>25</v>
      </c>
      <c r="F145" s="15">
        <v>2.5</v>
      </c>
      <c r="G145" s="15">
        <v>0</v>
      </c>
      <c r="H145" s="15">
        <v>4</v>
      </c>
      <c r="I145" s="15">
        <v>2.5</v>
      </c>
      <c r="J145" s="16">
        <v>5.4489999999999998</v>
      </c>
      <c r="K145" s="16">
        <v>0.69499999999999995</v>
      </c>
      <c r="L145" s="16">
        <f t="shared" si="10"/>
        <v>6.1440000000000001</v>
      </c>
      <c r="M145" s="17" t="s">
        <v>29</v>
      </c>
      <c r="N145" s="18">
        <v>100</v>
      </c>
      <c r="O145" s="18">
        <v>21</v>
      </c>
      <c r="P145" s="15">
        <v>0.1</v>
      </c>
      <c r="Q145" s="1" t="s">
        <v>1</v>
      </c>
      <c r="R145" s="20" t="str">
        <f t="shared" si="11"/>
        <v>horizontal</v>
      </c>
      <c r="S145" s="19">
        <v>-0.1</v>
      </c>
      <c r="T145" s="19">
        <v>0</v>
      </c>
      <c r="U145" s="19">
        <v>0</v>
      </c>
      <c r="V145" s="20">
        <v>0</v>
      </c>
      <c r="W145" s="20">
        <v>-1</v>
      </c>
      <c r="Y145" s="18">
        <v>97</v>
      </c>
      <c r="Z145" s="15">
        <v>100</v>
      </c>
      <c r="AA145" s="16">
        <v>0.35899999999999999</v>
      </c>
      <c r="AB145" s="16">
        <v>5.4560000000000004</v>
      </c>
      <c r="AC145" s="16">
        <f t="shared" si="9"/>
        <v>0.32899999999999974</v>
      </c>
      <c r="AD145" s="21">
        <v>1.4429293060867701</v>
      </c>
      <c r="AE145" s="22" t="str">
        <f t="shared" si="12"/>
        <v>UC Berkeley Lab</v>
      </c>
      <c r="AF145" s="22" t="s">
        <v>41</v>
      </c>
    </row>
    <row r="146" spans="1:32" x14ac:dyDescent="0.2">
      <c r="A146" s="1">
        <v>253</v>
      </c>
      <c r="B146" s="13">
        <v>43658</v>
      </c>
      <c r="C146" s="1" t="s">
        <v>34</v>
      </c>
      <c r="D146" s="1" t="s">
        <v>5</v>
      </c>
      <c r="E146" s="1" t="s">
        <v>25</v>
      </c>
      <c r="F146" s="15">
        <v>2.4</v>
      </c>
      <c r="G146" s="15">
        <v>2.2000000000000002</v>
      </c>
      <c r="H146" s="15">
        <v>4</v>
      </c>
      <c r="I146" s="15">
        <v>2.5</v>
      </c>
      <c r="J146" s="16">
        <v>0.96220000000000006</v>
      </c>
      <c r="K146" s="16">
        <v>0.69440000000000002</v>
      </c>
      <c r="L146" s="16">
        <f t="shared" si="10"/>
        <v>1.6566000000000001</v>
      </c>
      <c r="M146" s="17" t="s">
        <v>29</v>
      </c>
      <c r="N146" s="18">
        <v>100</v>
      </c>
      <c r="O146" s="18">
        <v>21</v>
      </c>
      <c r="P146" s="15">
        <v>0.1</v>
      </c>
      <c r="Q146" s="1" t="s">
        <v>1</v>
      </c>
      <c r="R146" s="20" t="str">
        <f t="shared" si="11"/>
        <v>horizontal</v>
      </c>
      <c r="S146" s="19">
        <v>-0.1</v>
      </c>
      <c r="T146" s="19">
        <v>0</v>
      </c>
      <c r="U146" s="19">
        <v>0</v>
      </c>
      <c r="V146" s="20">
        <v>0</v>
      </c>
      <c r="W146" s="20">
        <v>-1</v>
      </c>
      <c r="Y146" s="18">
        <v>14</v>
      </c>
      <c r="Z146" s="15">
        <v>100</v>
      </c>
      <c r="AA146" s="16">
        <v>0.23200000000000001</v>
      </c>
      <c r="AB146" s="16">
        <v>0.97</v>
      </c>
      <c r="AC146" s="16">
        <f t="shared" si="9"/>
        <v>0.45460000000000012</v>
      </c>
      <c r="AD146" s="21">
        <v>0.85099133208214695</v>
      </c>
      <c r="AE146" s="22" t="str">
        <f t="shared" si="12"/>
        <v>UC Berkeley Lab</v>
      </c>
      <c r="AF146" s="22" t="s">
        <v>45</v>
      </c>
    </row>
    <row r="147" spans="1:32" x14ac:dyDescent="0.2">
      <c r="A147" s="1">
        <v>254</v>
      </c>
      <c r="B147" s="13">
        <v>43658</v>
      </c>
      <c r="C147" s="1" t="s">
        <v>34</v>
      </c>
      <c r="D147" s="1" t="s">
        <v>5</v>
      </c>
      <c r="E147" s="1" t="s">
        <v>25</v>
      </c>
      <c r="F147" s="15">
        <v>2.4</v>
      </c>
      <c r="G147" s="15">
        <v>2.2000000000000002</v>
      </c>
      <c r="H147" s="15">
        <v>4</v>
      </c>
      <c r="I147" s="15">
        <v>2.5</v>
      </c>
      <c r="J147" s="16">
        <v>0.96199999999999997</v>
      </c>
      <c r="K147" s="16">
        <v>0.69540000000000002</v>
      </c>
      <c r="L147" s="16">
        <f t="shared" si="10"/>
        <v>1.6574</v>
      </c>
      <c r="M147" s="17" t="s">
        <v>29</v>
      </c>
      <c r="N147" s="18">
        <v>100</v>
      </c>
      <c r="O147" s="18">
        <v>21</v>
      </c>
      <c r="P147" s="15">
        <v>0.1</v>
      </c>
      <c r="Q147" s="1" t="s">
        <v>1</v>
      </c>
      <c r="R147" s="20" t="str">
        <f t="shared" si="11"/>
        <v>horizontal</v>
      </c>
      <c r="S147" s="19">
        <v>-0.1</v>
      </c>
      <c r="T147" s="19">
        <v>0</v>
      </c>
      <c r="U147" s="19">
        <v>0</v>
      </c>
      <c r="V147" s="20">
        <v>0</v>
      </c>
      <c r="W147" s="20">
        <v>-1</v>
      </c>
      <c r="Y147" s="18">
        <v>16</v>
      </c>
      <c r="Z147" s="15">
        <v>100</v>
      </c>
      <c r="AA147" s="16">
        <v>0.24199999999999999</v>
      </c>
      <c r="AB147" s="16">
        <v>0.96399999999999997</v>
      </c>
      <c r="AC147" s="16">
        <f t="shared" si="9"/>
        <v>0.45140000000000002</v>
      </c>
      <c r="AD147" s="21">
        <v>0.86569671857300901</v>
      </c>
      <c r="AE147" s="22" t="str">
        <f t="shared" si="12"/>
        <v>UC Berkeley Lab</v>
      </c>
      <c r="AF147" s="22" t="s">
        <v>47</v>
      </c>
    </row>
    <row r="148" spans="1:32" x14ac:dyDescent="0.2">
      <c r="A148" s="1">
        <v>255</v>
      </c>
      <c r="B148" s="13">
        <v>43658</v>
      </c>
      <c r="C148" s="1" t="s">
        <v>34</v>
      </c>
      <c r="D148" s="1" t="s">
        <v>5</v>
      </c>
      <c r="E148" s="1" t="s">
        <v>25</v>
      </c>
      <c r="F148" s="15">
        <v>2.4</v>
      </c>
      <c r="G148" s="15">
        <v>2.2000000000000002</v>
      </c>
      <c r="H148" s="15">
        <v>4</v>
      </c>
      <c r="I148" s="15">
        <v>2.5</v>
      </c>
      <c r="J148" s="16">
        <v>0.96509999999999996</v>
      </c>
      <c r="K148" s="16">
        <v>0.69689999999999996</v>
      </c>
      <c r="L148" s="16">
        <f t="shared" si="10"/>
        <v>1.6619999999999999</v>
      </c>
      <c r="M148" s="17" t="s">
        <v>29</v>
      </c>
      <c r="N148" s="18">
        <v>100</v>
      </c>
      <c r="O148" s="18">
        <v>21</v>
      </c>
      <c r="P148" s="15">
        <v>0.1</v>
      </c>
      <c r="Q148" s="1" t="s">
        <v>1</v>
      </c>
      <c r="R148" s="20" t="str">
        <f t="shared" si="11"/>
        <v>horizontal</v>
      </c>
      <c r="S148" s="19">
        <v>-0.1</v>
      </c>
      <c r="T148" s="19">
        <v>0</v>
      </c>
      <c r="U148" s="19">
        <v>0</v>
      </c>
      <c r="V148" s="20">
        <v>0</v>
      </c>
      <c r="W148" s="20">
        <v>-1</v>
      </c>
      <c r="Y148" s="18">
        <v>14</v>
      </c>
      <c r="Z148" s="15">
        <v>100</v>
      </c>
      <c r="AA148" s="16">
        <v>0.254</v>
      </c>
      <c r="AB148" s="16">
        <v>0.97099999999999997</v>
      </c>
      <c r="AC148" s="16">
        <f t="shared" si="9"/>
        <v>0.43699999999999994</v>
      </c>
      <c r="AD148" s="21">
        <v>0.87081313158001294</v>
      </c>
      <c r="AE148" s="22" t="str">
        <f t="shared" si="12"/>
        <v>UC Berkeley Lab</v>
      </c>
      <c r="AF148" s="22" t="s">
        <v>37</v>
      </c>
    </row>
    <row r="149" spans="1:32" ht="15.75" customHeight="1" x14ac:dyDescent="0.2">
      <c r="A149" s="1">
        <v>256</v>
      </c>
      <c r="B149" s="13">
        <v>43658</v>
      </c>
      <c r="C149" s="1" t="s">
        <v>34</v>
      </c>
      <c r="D149" s="1" t="s">
        <v>5</v>
      </c>
      <c r="E149" s="1" t="s">
        <v>25</v>
      </c>
      <c r="F149" s="15">
        <v>2.4</v>
      </c>
      <c r="G149" s="15">
        <v>2.2000000000000002</v>
      </c>
      <c r="H149" s="15">
        <v>4</v>
      </c>
      <c r="I149" s="15">
        <v>2.5</v>
      </c>
      <c r="J149" s="16">
        <v>0.97809999999999997</v>
      </c>
      <c r="K149" s="16">
        <v>0.69489999999999996</v>
      </c>
      <c r="L149" s="16">
        <f t="shared" si="10"/>
        <v>1.673</v>
      </c>
      <c r="M149" s="17" t="s">
        <v>29</v>
      </c>
      <c r="N149" s="18">
        <v>100</v>
      </c>
      <c r="O149" s="18">
        <v>21</v>
      </c>
      <c r="P149" s="15">
        <v>0.1</v>
      </c>
      <c r="Q149" s="1" t="s">
        <v>1</v>
      </c>
      <c r="R149" s="20" t="str">
        <f t="shared" si="11"/>
        <v>horizontal</v>
      </c>
      <c r="S149" s="19">
        <v>-0.1</v>
      </c>
      <c r="T149" s="19">
        <v>0</v>
      </c>
      <c r="U149" s="19">
        <v>0</v>
      </c>
      <c r="V149" s="20">
        <v>0</v>
      </c>
      <c r="W149" s="20">
        <v>-1</v>
      </c>
      <c r="Y149" s="18">
        <v>28</v>
      </c>
      <c r="Z149" s="15">
        <v>100</v>
      </c>
      <c r="AA149" s="16">
        <v>0.214</v>
      </c>
      <c r="AB149" s="16">
        <v>0.98</v>
      </c>
      <c r="AC149" s="16">
        <f t="shared" si="9"/>
        <v>0.47900000000000009</v>
      </c>
      <c r="AD149" s="21">
        <v>0.888168474134157</v>
      </c>
      <c r="AE149" s="22" t="str">
        <f t="shared" si="12"/>
        <v>UC Berkeley Lab</v>
      </c>
      <c r="AF149" s="22" t="s">
        <v>48</v>
      </c>
    </row>
    <row r="150" spans="1:32" x14ac:dyDescent="0.2">
      <c r="A150" s="1">
        <v>257</v>
      </c>
      <c r="B150" s="13">
        <v>43658</v>
      </c>
      <c r="C150" s="1" t="s">
        <v>34</v>
      </c>
      <c r="D150" s="1" t="s">
        <v>5</v>
      </c>
      <c r="E150" s="1" t="s">
        <v>25</v>
      </c>
      <c r="F150" s="15">
        <v>2.4</v>
      </c>
      <c r="G150" s="15">
        <v>2.2000000000000002</v>
      </c>
      <c r="H150" s="15">
        <v>4</v>
      </c>
      <c r="I150" s="15">
        <v>2.5</v>
      </c>
      <c r="J150" s="16">
        <v>0.96120000000000005</v>
      </c>
      <c r="K150" s="16">
        <v>0.69620000000000004</v>
      </c>
      <c r="L150" s="16">
        <f t="shared" si="10"/>
        <v>1.6574</v>
      </c>
      <c r="M150" s="17" t="s">
        <v>29</v>
      </c>
      <c r="N150" s="18">
        <v>100</v>
      </c>
      <c r="O150" s="18">
        <v>21</v>
      </c>
      <c r="P150" s="15">
        <v>0.1</v>
      </c>
      <c r="Q150" s="1" t="s">
        <v>1</v>
      </c>
      <c r="R150" s="20" t="str">
        <f t="shared" si="11"/>
        <v>horizontal</v>
      </c>
      <c r="S150" s="19">
        <v>-0.1</v>
      </c>
      <c r="T150" s="19">
        <v>0</v>
      </c>
      <c r="U150" s="19">
        <v>0</v>
      </c>
      <c r="V150" s="20">
        <v>0</v>
      </c>
      <c r="W150" s="20">
        <v>-1</v>
      </c>
      <c r="Y150" s="18">
        <v>120</v>
      </c>
      <c r="Z150" s="15">
        <v>100</v>
      </c>
      <c r="AA150" s="16">
        <v>0.24299999999999999</v>
      </c>
      <c r="AB150" s="16">
        <v>0.96599999999999997</v>
      </c>
      <c r="AC150" s="16">
        <f t="shared" si="9"/>
        <v>0.44840000000000013</v>
      </c>
      <c r="AD150" s="21">
        <v>0.904582238611363</v>
      </c>
      <c r="AE150" s="22" t="str">
        <f t="shared" si="12"/>
        <v>UC Berkeley Lab</v>
      </c>
      <c r="AF150" s="22" t="s">
        <v>49</v>
      </c>
    </row>
    <row r="151" spans="1:32" ht="15.75" customHeight="1" x14ac:dyDescent="0.2">
      <c r="A151" s="1">
        <v>259</v>
      </c>
      <c r="B151" s="13">
        <v>43658</v>
      </c>
      <c r="C151" s="1" t="s">
        <v>34</v>
      </c>
      <c r="D151" s="1" t="s">
        <v>4</v>
      </c>
      <c r="E151" s="1" t="s">
        <v>25</v>
      </c>
      <c r="F151" s="15">
        <v>2.5</v>
      </c>
      <c r="G151" s="15">
        <v>0</v>
      </c>
      <c r="H151" s="15">
        <v>4</v>
      </c>
      <c r="I151" s="15">
        <v>2.5</v>
      </c>
      <c r="J151" s="16">
        <v>5.4255000000000004</v>
      </c>
      <c r="K151" s="16">
        <v>0.69410000000000005</v>
      </c>
      <c r="L151" s="16">
        <f t="shared" si="10"/>
        <v>6.1196000000000002</v>
      </c>
      <c r="M151" s="17" t="s">
        <v>29</v>
      </c>
      <c r="N151" s="18">
        <v>100</v>
      </c>
      <c r="O151" s="18">
        <v>21</v>
      </c>
      <c r="P151" s="15">
        <v>0.1</v>
      </c>
      <c r="Q151" s="1" t="s">
        <v>1</v>
      </c>
      <c r="R151" s="20" t="str">
        <f t="shared" si="11"/>
        <v>horizontal</v>
      </c>
      <c r="S151" s="19">
        <v>-0.1</v>
      </c>
      <c r="T151" s="19">
        <v>0</v>
      </c>
      <c r="U151" s="19">
        <v>0</v>
      </c>
      <c r="V151" s="20">
        <v>0</v>
      </c>
      <c r="W151" s="20">
        <v>-1</v>
      </c>
      <c r="Y151" s="18">
        <v>58</v>
      </c>
      <c r="Z151" s="15">
        <v>100</v>
      </c>
      <c r="AA151" s="16">
        <v>0.35499999999999998</v>
      </c>
      <c r="AB151" s="16">
        <v>5.4290000000000003</v>
      </c>
      <c r="AC151" s="16">
        <f t="shared" si="9"/>
        <v>0.33559999999999945</v>
      </c>
      <c r="AD151" s="21">
        <v>1.4614631142296799</v>
      </c>
      <c r="AE151" s="22" t="str">
        <f t="shared" si="12"/>
        <v>UC Berkeley Lab</v>
      </c>
      <c r="AF151" s="22" t="s">
        <v>40</v>
      </c>
    </row>
    <row r="152" spans="1:32" x14ac:dyDescent="0.2">
      <c r="A152" s="1">
        <v>260</v>
      </c>
      <c r="B152" s="13">
        <v>43658</v>
      </c>
      <c r="C152" s="1" t="s">
        <v>34</v>
      </c>
      <c r="D152" s="1" t="s">
        <v>4</v>
      </c>
      <c r="E152" s="1" t="s">
        <v>25</v>
      </c>
      <c r="F152" s="15">
        <v>2.5</v>
      </c>
      <c r="G152" s="15">
        <v>0</v>
      </c>
      <c r="H152" s="15">
        <v>4</v>
      </c>
      <c r="I152" s="15">
        <v>2.5</v>
      </c>
      <c r="J152" s="16">
        <v>5.4279999999999999</v>
      </c>
      <c r="K152" s="16">
        <v>0.70020000000000004</v>
      </c>
      <c r="L152" s="16">
        <f t="shared" si="10"/>
        <v>6.1281999999999996</v>
      </c>
      <c r="M152" s="17" t="s">
        <v>29</v>
      </c>
      <c r="N152" s="18">
        <v>100</v>
      </c>
      <c r="O152" s="18">
        <v>21</v>
      </c>
      <c r="P152" s="15">
        <v>0.1</v>
      </c>
      <c r="Q152" s="1" t="s">
        <v>1</v>
      </c>
      <c r="R152" s="20" t="str">
        <f t="shared" si="11"/>
        <v>horizontal</v>
      </c>
      <c r="S152" s="19">
        <v>-0.1</v>
      </c>
      <c r="T152" s="19">
        <v>0</v>
      </c>
      <c r="U152" s="19">
        <v>0</v>
      </c>
      <c r="V152" s="20">
        <v>0</v>
      </c>
      <c r="W152" s="20">
        <v>-1</v>
      </c>
      <c r="Y152" s="18">
        <v>105</v>
      </c>
      <c r="Z152" s="15">
        <v>100</v>
      </c>
      <c r="AA152" s="16">
        <v>0.35699999999999998</v>
      </c>
      <c r="AB152" s="16">
        <v>5.4349999999999996</v>
      </c>
      <c r="AC152" s="16">
        <f t="shared" si="9"/>
        <v>0.33619999999999983</v>
      </c>
      <c r="AD152" s="21">
        <v>1.2949347976807799</v>
      </c>
      <c r="AE152" s="22" t="str">
        <f t="shared" si="12"/>
        <v>UC Berkeley Lab</v>
      </c>
      <c r="AF152" s="22" t="s">
        <v>41</v>
      </c>
    </row>
    <row r="153" spans="1:32" x14ac:dyDescent="0.2">
      <c r="A153" s="1">
        <v>261</v>
      </c>
      <c r="B153" s="13">
        <v>43658</v>
      </c>
      <c r="C153" s="1" t="s">
        <v>34</v>
      </c>
      <c r="D153" s="1" t="s">
        <v>4</v>
      </c>
      <c r="E153" s="1" t="s">
        <v>25</v>
      </c>
      <c r="F153" s="15">
        <v>1.8</v>
      </c>
      <c r="G153" s="15">
        <v>0</v>
      </c>
      <c r="H153" s="15">
        <v>3</v>
      </c>
      <c r="I153" s="15">
        <v>1.8</v>
      </c>
      <c r="J153" s="16">
        <v>2.8035000000000001</v>
      </c>
      <c r="K153" s="16">
        <v>0.41599999999999998</v>
      </c>
      <c r="L153" s="16">
        <f t="shared" si="10"/>
        <v>3.2195</v>
      </c>
      <c r="M153" s="17" t="s">
        <v>29</v>
      </c>
      <c r="N153" s="18">
        <v>100</v>
      </c>
      <c r="O153" s="18">
        <v>21</v>
      </c>
      <c r="P153" s="15">
        <v>0.1</v>
      </c>
      <c r="Q153" s="1" t="s">
        <v>1</v>
      </c>
      <c r="R153" s="20" t="str">
        <f t="shared" si="11"/>
        <v>horizontal</v>
      </c>
      <c r="S153" s="19">
        <v>-0.1</v>
      </c>
      <c r="T153" s="19">
        <v>0</v>
      </c>
      <c r="U153" s="19">
        <v>0</v>
      </c>
      <c r="V153" s="20">
        <v>0</v>
      </c>
      <c r="W153" s="20">
        <v>-1</v>
      </c>
      <c r="Y153" s="18">
        <v>21</v>
      </c>
      <c r="Z153" s="15">
        <v>100</v>
      </c>
      <c r="AA153" s="16">
        <v>0.246</v>
      </c>
      <c r="AB153" s="16">
        <v>2.8079999999999998</v>
      </c>
      <c r="AC153" s="16">
        <f t="shared" si="9"/>
        <v>0.1655000000000002</v>
      </c>
      <c r="AD153" s="21">
        <v>1.33082332169726</v>
      </c>
      <c r="AE153" s="22" t="str">
        <f t="shared" si="12"/>
        <v>UC Berkeley Lab</v>
      </c>
      <c r="AF153" s="22" t="s">
        <v>46</v>
      </c>
    </row>
    <row r="154" spans="1:32" ht="15.75" customHeight="1" x14ac:dyDescent="0.2">
      <c r="A154" s="1">
        <v>262</v>
      </c>
      <c r="B154" s="13">
        <v>43658</v>
      </c>
      <c r="C154" s="1" t="s">
        <v>34</v>
      </c>
      <c r="D154" s="1" t="s">
        <v>4</v>
      </c>
      <c r="E154" s="1" t="s">
        <v>25</v>
      </c>
      <c r="F154" s="15">
        <v>1.8</v>
      </c>
      <c r="G154" s="15">
        <v>0</v>
      </c>
      <c r="H154" s="15">
        <v>3</v>
      </c>
      <c r="I154" s="15">
        <v>1.8</v>
      </c>
      <c r="J154" s="16">
        <v>2.8054000000000001</v>
      </c>
      <c r="K154" s="16">
        <v>0.41670000000000001</v>
      </c>
      <c r="L154" s="16">
        <f t="shared" si="10"/>
        <v>3.2221000000000002</v>
      </c>
      <c r="M154" s="17" t="s">
        <v>29</v>
      </c>
      <c r="N154" s="18">
        <v>100</v>
      </c>
      <c r="O154" s="18">
        <v>21</v>
      </c>
      <c r="P154" s="15">
        <v>0.1</v>
      </c>
      <c r="Q154" s="1" t="s">
        <v>1</v>
      </c>
      <c r="R154" s="20" t="str">
        <f t="shared" si="11"/>
        <v>horizontal</v>
      </c>
      <c r="S154" s="19">
        <v>-0.1</v>
      </c>
      <c r="T154" s="19">
        <v>0</v>
      </c>
      <c r="U154" s="19">
        <v>0</v>
      </c>
      <c r="V154" s="20">
        <v>0</v>
      </c>
      <c r="W154" s="20">
        <v>-1</v>
      </c>
      <c r="Y154" s="18">
        <v>43</v>
      </c>
      <c r="Z154" s="15">
        <v>100</v>
      </c>
      <c r="AA154" s="16">
        <v>0.25700000000000001</v>
      </c>
      <c r="AB154" s="16">
        <v>2.8159999999999998</v>
      </c>
      <c r="AC154" s="16">
        <f t="shared" si="9"/>
        <v>0.14910000000000023</v>
      </c>
      <c r="AD154" s="21">
        <v>1.5797216263071301</v>
      </c>
      <c r="AE154" s="22" t="str">
        <f t="shared" si="12"/>
        <v>UC Berkeley Lab</v>
      </c>
      <c r="AF154" s="22" t="s">
        <v>40</v>
      </c>
    </row>
    <row r="155" spans="1:32" ht="15.75" customHeight="1" x14ac:dyDescent="0.2">
      <c r="A155" s="1">
        <v>263</v>
      </c>
      <c r="B155" s="13">
        <v>43658</v>
      </c>
      <c r="C155" s="1" t="s">
        <v>34</v>
      </c>
      <c r="D155" s="1" t="s">
        <v>4</v>
      </c>
      <c r="E155" s="1" t="s">
        <v>25</v>
      </c>
      <c r="F155" s="15">
        <v>1.8</v>
      </c>
      <c r="G155" s="15">
        <v>0</v>
      </c>
      <c r="H155" s="15">
        <v>3</v>
      </c>
      <c r="I155" s="15">
        <v>1.8</v>
      </c>
      <c r="J155" s="16">
        <v>2.806</v>
      </c>
      <c r="K155" s="16">
        <v>0.4163</v>
      </c>
      <c r="L155" s="16">
        <f t="shared" si="10"/>
        <v>3.2223000000000002</v>
      </c>
      <c r="M155" s="17" t="s">
        <v>29</v>
      </c>
      <c r="N155" s="18">
        <v>100</v>
      </c>
      <c r="O155" s="18">
        <v>21</v>
      </c>
      <c r="P155" s="15">
        <v>0.1</v>
      </c>
      <c r="Q155" s="1" t="s">
        <v>1</v>
      </c>
      <c r="R155" s="20" t="str">
        <f t="shared" si="11"/>
        <v>horizontal</v>
      </c>
      <c r="S155" s="19">
        <v>-0.1</v>
      </c>
      <c r="T155" s="19">
        <v>0</v>
      </c>
      <c r="U155" s="19">
        <v>0</v>
      </c>
      <c r="V155" s="20">
        <v>0</v>
      </c>
      <c r="W155" s="20">
        <v>-1</v>
      </c>
      <c r="Y155" s="18">
        <v>40</v>
      </c>
      <c r="Z155" s="15">
        <v>100</v>
      </c>
      <c r="AA155" s="16">
        <v>0.26700000000000002</v>
      </c>
      <c r="AB155" s="16">
        <v>2.8119999999999998</v>
      </c>
      <c r="AC155" s="16">
        <f t="shared" si="9"/>
        <v>0.14330000000000043</v>
      </c>
      <c r="AD155" s="21">
        <v>1.6541057240510499</v>
      </c>
      <c r="AE155" s="22" t="str">
        <f t="shared" si="12"/>
        <v>UC Berkeley Lab</v>
      </c>
      <c r="AF155" s="22" t="s">
        <v>40</v>
      </c>
    </row>
    <row r="156" spans="1:32" x14ac:dyDescent="0.2">
      <c r="A156" s="1">
        <v>264</v>
      </c>
      <c r="B156" s="13">
        <v>43658</v>
      </c>
      <c r="C156" s="1" t="s">
        <v>34</v>
      </c>
      <c r="D156" s="1" t="s">
        <v>4</v>
      </c>
      <c r="E156" s="1" t="s">
        <v>25</v>
      </c>
      <c r="F156" s="15">
        <v>1.8</v>
      </c>
      <c r="G156" s="15">
        <v>0</v>
      </c>
      <c r="H156" s="15">
        <v>3</v>
      </c>
      <c r="I156" s="15">
        <v>1.8</v>
      </c>
      <c r="J156" s="16">
        <v>2.8058999999999998</v>
      </c>
      <c r="K156" s="16">
        <v>0.4148</v>
      </c>
      <c r="L156" s="16">
        <f t="shared" si="10"/>
        <v>3.2206999999999999</v>
      </c>
      <c r="M156" s="17" t="s">
        <v>29</v>
      </c>
      <c r="N156" s="18">
        <v>100</v>
      </c>
      <c r="O156" s="18">
        <v>21</v>
      </c>
      <c r="P156" s="15">
        <v>0.1</v>
      </c>
      <c r="Q156" s="1" t="s">
        <v>1</v>
      </c>
      <c r="R156" s="20" t="str">
        <f t="shared" si="11"/>
        <v>horizontal</v>
      </c>
      <c r="S156" s="19">
        <v>-0.1</v>
      </c>
      <c r="T156" s="19">
        <v>0</v>
      </c>
      <c r="U156" s="19">
        <v>0</v>
      </c>
      <c r="V156" s="20">
        <v>0</v>
      </c>
      <c r="W156" s="20">
        <v>-1</v>
      </c>
      <c r="Y156" s="18">
        <v>86</v>
      </c>
      <c r="Z156" s="15">
        <v>100</v>
      </c>
      <c r="AA156" s="16">
        <v>0.251</v>
      </c>
      <c r="AB156" s="16">
        <v>2.8149999999999999</v>
      </c>
      <c r="AC156" s="16">
        <f t="shared" si="9"/>
        <v>0.15470000000000006</v>
      </c>
      <c r="AD156" s="21">
        <v>1.5439163730059</v>
      </c>
      <c r="AE156" s="22" t="str">
        <f t="shared" si="12"/>
        <v>UC Berkeley Lab</v>
      </c>
      <c r="AF156" s="22" t="s">
        <v>41</v>
      </c>
    </row>
    <row r="157" spans="1:32" x14ac:dyDescent="0.2">
      <c r="A157" s="1">
        <v>265</v>
      </c>
      <c r="B157" s="13">
        <v>43658</v>
      </c>
      <c r="C157" s="1" t="s">
        <v>34</v>
      </c>
      <c r="D157" s="1" t="s">
        <v>9</v>
      </c>
      <c r="E157" s="1" t="s">
        <v>25</v>
      </c>
      <c r="F157" s="15">
        <v>0.64</v>
      </c>
      <c r="G157" s="15">
        <v>0</v>
      </c>
      <c r="H157" s="15">
        <v>4</v>
      </c>
      <c r="I157" s="15">
        <v>0.7</v>
      </c>
      <c r="J157" s="16">
        <v>0.34189999999999998</v>
      </c>
      <c r="K157" s="16">
        <v>1.1272</v>
      </c>
      <c r="L157" s="16">
        <f t="shared" si="10"/>
        <v>1.4691000000000001</v>
      </c>
      <c r="M157" s="17" t="s">
        <v>29</v>
      </c>
      <c r="N157" s="18">
        <v>100</v>
      </c>
      <c r="O157" s="18">
        <v>21</v>
      </c>
      <c r="P157" s="15">
        <v>0.1</v>
      </c>
      <c r="Q157" s="1" t="s">
        <v>1</v>
      </c>
      <c r="R157" s="20" t="str">
        <f t="shared" si="11"/>
        <v>horizontal</v>
      </c>
      <c r="S157" s="19">
        <v>-0.1</v>
      </c>
      <c r="T157" s="19">
        <v>0</v>
      </c>
      <c r="U157" s="19">
        <v>0</v>
      </c>
      <c r="V157" s="20">
        <v>0</v>
      </c>
      <c r="W157" s="20">
        <v>-1</v>
      </c>
      <c r="Y157" s="18">
        <v>168</v>
      </c>
      <c r="Z157" s="15">
        <v>100</v>
      </c>
      <c r="AA157" s="16">
        <v>0.30299999999999999</v>
      </c>
      <c r="AB157" s="16">
        <v>0.34200000000000003</v>
      </c>
      <c r="AC157" s="16">
        <f t="shared" si="9"/>
        <v>0.82410000000000005</v>
      </c>
      <c r="AD157" s="21">
        <v>0.59269225489835398</v>
      </c>
      <c r="AE157" s="22" t="str">
        <f t="shared" si="12"/>
        <v>UC Berkeley Lab</v>
      </c>
      <c r="AF157" s="22" t="s">
        <v>41</v>
      </c>
    </row>
    <row r="158" spans="1:32" x14ac:dyDescent="0.2">
      <c r="A158" s="1">
        <v>266</v>
      </c>
      <c r="B158" s="13">
        <v>43658</v>
      </c>
      <c r="C158" s="1" t="s">
        <v>34</v>
      </c>
      <c r="D158" s="1" t="s">
        <v>9</v>
      </c>
      <c r="E158" s="1" t="s">
        <v>25</v>
      </c>
      <c r="F158" s="15">
        <v>0.64</v>
      </c>
      <c r="G158" s="15">
        <v>0</v>
      </c>
      <c r="H158" s="15">
        <v>4</v>
      </c>
      <c r="I158" s="15">
        <v>0.7</v>
      </c>
      <c r="J158" s="16">
        <v>0.34060000000000001</v>
      </c>
      <c r="K158" s="16">
        <v>1.1335999999999999</v>
      </c>
      <c r="L158" s="16">
        <f t="shared" si="10"/>
        <v>1.4742</v>
      </c>
      <c r="M158" s="17" t="s">
        <v>29</v>
      </c>
      <c r="N158" s="18">
        <v>100</v>
      </c>
      <c r="O158" s="18">
        <v>21</v>
      </c>
      <c r="P158" s="15">
        <v>0.1</v>
      </c>
      <c r="Q158" s="1" t="s">
        <v>1</v>
      </c>
      <c r="R158" s="20" t="str">
        <f t="shared" si="11"/>
        <v>horizontal</v>
      </c>
      <c r="S158" s="19">
        <v>-0.1</v>
      </c>
      <c r="T158" s="19">
        <v>0</v>
      </c>
      <c r="U158" s="19">
        <v>0</v>
      </c>
      <c r="V158" s="20">
        <v>0</v>
      </c>
      <c r="W158" s="20">
        <v>-1</v>
      </c>
      <c r="Y158" s="18">
        <v>172</v>
      </c>
      <c r="Z158" s="15">
        <v>100</v>
      </c>
      <c r="AA158" s="16">
        <v>0.33200000000000002</v>
      </c>
      <c r="AB158" s="16">
        <v>0.34</v>
      </c>
      <c r="AC158" s="16">
        <f t="shared" si="9"/>
        <v>0.8021999999999998</v>
      </c>
      <c r="AD158" s="21">
        <v>0.57377833721850302</v>
      </c>
      <c r="AE158" s="22" t="str">
        <f t="shared" si="12"/>
        <v>UC Berkeley Lab</v>
      </c>
      <c r="AF158" s="22" t="s">
        <v>41</v>
      </c>
    </row>
    <row r="159" spans="1:32" x14ac:dyDescent="0.2">
      <c r="A159" s="1">
        <v>267</v>
      </c>
      <c r="B159" s="13">
        <v>43658</v>
      </c>
      <c r="C159" s="1" t="s">
        <v>34</v>
      </c>
      <c r="D159" s="1" t="s">
        <v>9</v>
      </c>
      <c r="E159" s="1" t="s">
        <v>25</v>
      </c>
      <c r="F159" s="15">
        <v>0.64</v>
      </c>
      <c r="G159" s="15">
        <v>0</v>
      </c>
      <c r="H159" s="15">
        <v>4</v>
      </c>
      <c r="I159" s="15">
        <v>0.7</v>
      </c>
      <c r="J159" s="16">
        <v>0.34</v>
      </c>
      <c r="K159" s="16">
        <v>1.1254</v>
      </c>
      <c r="L159" s="16">
        <f t="shared" si="10"/>
        <v>1.4654</v>
      </c>
      <c r="M159" s="17" t="s">
        <v>29</v>
      </c>
      <c r="N159" s="18">
        <v>100</v>
      </c>
      <c r="O159" s="18">
        <v>21</v>
      </c>
      <c r="P159" s="15">
        <v>0.1</v>
      </c>
      <c r="Q159" s="1" t="s">
        <v>1</v>
      </c>
      <c r="R159" s="20" t="str">
        <f t="shared" si="11"/>
        <v>horizontal</v>
      </c>
      <c r="S159" s="19">
        <v>-0.1</v>
      </c>
      <c r="T159" s="19">
        <v>0</v>
      </c>
      <c r="U159" s="19">
        <v>0</v>
      </c>
      <c r="V159" s="20">
        <v>0</v>
      </c>
      <c r="W159" s="20">
        <v>-1</v>
      </c>
      <c r="Y159" s="18">
        <v>182</v>
      </c>
      <c r="Z159" s="15">
        <v>100</v>
      </c>
      <c r="AA159" s="16">
        <v>0.33200000000000002</v>
      </c>
      <c r="AB159" s="16">
        <v>0.33900000000000002</v>
      </c>
      <c r="AC159" s="16">
        <f t="shared" si="9"/>
        <v>0.7944</v>
      </c>
      <c r="AD159" s="21">
        <v>0.55074869347130495</v>
      </c>
      <c r="AE159" s="22" t="str">
        <f t="shared" si="12"/>
        <v>UC Berkeley Lab</v>
      </c>
      <c r="AF159" s="22" t="s">
        <v>41</v>
      </c>
    </row>
    <row r="160" spans="1:32" ht="15.75" customHeight="1" x14ac:dyDescent="0.2">
      <c r="A160" s="1">
        <v>268</v>
      </c>
      <c r="B160" s="13">
        <v>43658</v>
      </c>
      <c r="C160" s="1" t="s">
        <v>34</v>
      </c>
      <c r="D160" s="1" t="s">
        <v>5</v>
      </c>
      <c r="E160" s="1" t="s">
        <v>25</v>
      </c>
      <c r="F160" s="15">
        <v>2.4</v>
      </c>
      <c r="G160" s="15">
        <v>2.2000000000000002</v>
      </c>
      <c r="H160" s="15">
        <v>4</v>
      </c>
      <c r="I160" s="15">
        <v>2.5</v>
      </c>
      <c r="J160" s="16">
        <v>0.96230000000000004</v>
      </c>
      <c r="K160" s="16">
        <v>0.69779999999999998</v>
      </c>
      <c r="L160" s="16">
        <f t="shared" si="10"/>
        <v>1.6600999999999999</v>
      </c>
      <c r="M160" s="17" t="s">
        <v>29</v>
      </c>
      <c r="N160" s="18">
        <v>100</v>
      </c>
      <c r="O160" s="18">
        <v>21</v>
      </c>
      <c r="P160" s="15">
        <v>0.1</v>
      </c>
      <c r="Q160" s="1" t="s">
        <v>1</v>
      </c>
      <c r="R160" s="20" t="str">
        <f t="shared" si="11"/>
        <v>horizontal</v>
      </c>
      <c r="S160" s="19">
        <v>-0.1</v>
      </c>
      <c r="T160" s="19">
        <v>0</v>
      </c>
      <c r="U160" s="19">
        <v>0</v>
      </c>
      <c r="V160" s="20">
        <v>0</v>
      </c>
      <c r="W160" s="20">
        <v>-1</v>
      </c>
      <c r="Y160" s="18">
        <v>31</v>
      </c>
      <c r="Z160" s="15">
        <v>100</v>
      </c>
      <c r="AA160" s="16">
        <v>0.22500000000000001</v>
      </c>
      <c r="AB160" s="16">
        <v>0.96299999999999997</v>
      </c>
      <c r="AC160" s="16">
        <f t="shared" si="9"/>
        <v>0.47209999999999985</v>
      </c>
      <c r="AD160" s="21">
        <v>0.82473257384395504</v>
      </c>
      <c r="AE160" s="22" t="str">
        <f t="shared" si="12"/>
        <v>UC Berkeley Lab</v>
      </c>
      <c r="AF160" s="22" t="s">
        <v>48</v>
      </c>
    </row>
    <row r="161" spans="1:32" x14ac:dyDescent="0.2">
      <c r="A161" s="1">
        <v>269</v>
      </c>
      <c r="B161" s="13">
        <v>43658</v>
      </c>
      <c r="C161" s="1" t="s">
        <v>34</v>
      </c>
      <c r="D161" s="1" t="s">
        <v>5</v>
      </c>
      <c r="E161" s="1" t="s">
        <v>25</v>
      </c>
      <c r="F161" s="15">
        <v>2.4</v>
      </c>
      <c r="G161" s="15">
        <v>2.2000000000000002</v>
      </c>
      <c r="H161" s="15">
        <v>4</v>
      </c>
      <c r="I161" s="15">
        <v>2.5</v>
      </c>
      <c r="J161" s="16">
        <v>0.96489999999999998</v>
      </c>
      <c r="K161" s="16">
        <v>0.69379999999999997</v>
      </c>
      <c r="L161" s="16">
        <f t="shared" si="10"/>
        <v>1.6587000000000001</v>
      </c>
      <c r="M161" s="17" t="s">
        <v>29</v>
      </c>
      <c r="N161" s="18">
        <v>100</v>
      </c>
      <c r="O161" s="18">
        <v>21</v>
      </c>
      <c r="P161" s="15">
        <v>0.1</v>
      </c>
      <c r="Q161" s="1" t="s">
        <v>1</v>
      </c>
      <c r="R161" s="20" t="str">
        <f t="shared" si="11"/>
        <v>horizontal</v>
      </c>
      <c r="S161" s="19">
        <v>-0.1</v>
      </c>
      <c r="T161" s="19">
        <v>0</v>
      </c>
      <c r="U161" s="19">
        <v>0</v>
      </c>
      <c r="V161" s="20">
        <v>0</v>
      </c>
      <c r="W161" s="20">
        <v>-1</v>
      </c>
      <c r="Y161" s="18">
        <v>30</v>
      </c>
      <c r="Z161" s="15">
        <v>100</v>
      </c>
      <c r="AA161" s="16">
        <v>0.222</v>
      </c>
      <c r="AB161" s="16">
        <v>0.96499999999999997</v>
      </c>
      <c r="AC161" s="16">
        <f t="shared" si="9"/>
        <v>0.47170000000000012</v>
      </c>
      <c r="AD161" s="21">
        <v>0.85339454669494796</v>
      </c>
      <c r="AE161" s="22" t="str">
        <f t="shared" si="12"/>
        <v>UC Berkeley Lab</v>
      </c>
      <c r="AF161" s="22" t="s">
        <v>48</v>
      </c>
    </row>
    <row r="162" spans="1:32" x14ac:dyDescent="0.2">
      <c r="A162" s="1">
        <v>270</v>
      </c>
      <c r="B162" s="13">
        <v>43658</v>
      </c>
      <c r="C162" s="1" t="s">
        <v>34</v>
      </c>
      <c r="D162" s="1" t="s">
        <v>5</v>
      </c>
      <c r="E162" s="1" t="s">
        <v>25</v>
      </c>
      <c r="F162" s="15">
        <v>2.4</v>
      </c>
      <c r="G162" s="15">
        <v>2.2000000000000002</v>
      </c>
      <c r="H162" s="15">
        <v>4</v>
      </c>
      <c r="I162" s="15">
        <v>2.5</v>
      </c>
      <c r="J162" s="16">
        <v>0.97070000000000001</v>
      </c>
      <c r="K162" s="16">
        <v>0.6966</v>
      </c>
      <c r="L162" s="16">
        <f t="shared" si="10"/>
        <v>1.6673</v>
      </c>
      <c r="M162" s="17" t="s">
        <v>29</v>
      </c>
      <c r="N162" s="18">
        <v>100</v>
      </c>
      <c r="O162" s="18">
        <v>21</v>
      </c>
      <c r="P162" s="15">
        <v>0.1</v>
      </c>
      <c r="Q162" s="1" t="s">
        <v>1</v>
      </c>
      <c r="R162" s="20" t="str">
        <f t="shared" si="11"/>
        <v>horizontal</v>
      </c>
      <c r="S162" s="19">
        <v>-0.1</v>
      </c>
      <c r="T162" s="19">
        <v>0</v>
      </c>
      <c r="U162" s="19">
        <v>0</v>
      </c>
      <c r="V162" s="20">
        <v>0</v>
      </c>
      <c r="W162" s="20">
        <v>-1</v>
      </c>
      <c r="Y162" s="18">
        <v>119</v>
      </c>
      <c r="Z162" s="15">
        <v>100</v>
      </c>
      <c r="AA162" s="16">
        <v>0.22500000000000001</v>
      </c>
      <c r="AB162" s="16">
        <v>0.97799999999999998</v>
      </c>
      <c r="AC162" s="16">
        <f t="shared" si="9"/>
        <v>0.46429999999999993</v>
      </c>
      <c r="AD162" s="21">
        <v>0.86431702616246397</v>
      </c>
      <c r="AE162" s="22" t="str">
        <f t="shared" si="12"/>
        <v>UC Berkeley Lab</v>
      </c>
      <c r="AF162" s="22" t="s">
        <v>49</v>
      </c>
    </row>
    <row r="163" spans="1:32" x14ac:dyDescent="0.2">
      <c r="A163" s="1">
        <v>271</v>
      </c>
      <c r="B163" s="13">
        <v>43658</v>
      </c>
      <c r="C163" s="1" t="s">
        <v>34</v>
      </c>
      <c r="D163" s="1" t="s">
        <v>5</v>
      </c>
      <c r="E163" s="1" t="s">
        <v>25</v>
      </c>
      <c r="F163" s="15">
        <v>2.4</v>
      </c>
      <c r="G163" s="15">
        <v>2.2000000000000002</v>
      </c>
      <c r="H163" s="15">
        <v>4</v>
      </c>
      <c r="I163" s="15">
        <v>2.5</v>
      </c>
      <c r="J163" s="16">
        <v>0.97960000000000003</v>
      </c>
      <c r="K163" s="16">
        <v>0.69540000000000002</v>
      </c>
      <c r="L163" s="16">
        <f t="shared" si="10"/>
        <v>1.675</v>
      </c>
      <c r="M163" s="17" t="s">
        <v>29</v>
      </c>
      <c r="N163" s="18">
        <v>100</v>
      </c>
      <c r="O163" s="18">
        <v>21</v>
      </c>
      <c r="P163" s="15">
        <v>0.1</v>
      </c>
      <c r="Q163" s="1" t="s">
        <v>1</v>
      </c>
      <c r="R163" s="20" t="str">
        <f t="shared" si="11"/>
        <v>horizontal</v>
      </c>
      <c r="S163" s="19">
        <v>-0.1</v>
      </c>
      <c r="T163" s="19">
        <v>0</v>
      </c>
      <c r="U163" s="19">
        <v>0</v>
      </c>
      <c r="V163" s="20">
        <v>0</v>
      </c>
      <c r="W163" s="20">
        <v>-1</v>
      </c>
      <c r="Y163" s="18">
        <v>116</v>
      </c>
      <c r="Z163" s="15">
        <v>100</v>
      </c>
      <c r="AA163" s="16">
        <v>0.22800000000000001</v>
      </c>
      <c r="AB163" s="16">
        <v>0.98099999999999998</v>
      </c>
      <c r="AC163" s="16">
        <f t="shared" si="9"/>
        <v>0.46600000000000008</v>
      </c>
      <c r="AD163" s="21">
        <v>0.87027809602029904</v>
      </c>
      <c r="AE163" s="22" t="str">
        <f t="shared" si="12"/>
        <v>UC Berkeley Lab</v>
      </c>
      <c r="AF163" s="22" t="s">
        <v>49</v>
      </c>
    </row>
    <row r="164" spans="1:32" x14ac:dyDescent="0.2">
      <c r="A164" s="1">
        <v>272</v>
      </c>
      <c r="B164" s="13">
        <v>43658</v>
      </c>
      <c r="C164" s="1" t="s">
        <v>34</v>
      </c>
      <c r="D164" s="1" t="s">
        <v>4</v>
      </c>
      <c r="E164" s="1" t="s">
        <v>25</v>
      </c>
      <c r="F164" s="15">
        <v>2.5</v>
      </c>
      <c r="G164" s="15">
        <v>0</v>
      </c>
      <c r="H164" s="15">
        <v>4</v>
      </c>
      <c r="I164" s="15">
        <v>2.5</v>
      </c>
      <c r="J164" s="16">
        <v>5.4347000000000003</v>
      </c>
      <c r="K164" s="16">
        <v>0.69630000000000003</v>
      </c>
      <c r="L164" s="16">
        <f t="shared" si="10"/>
        <v>6.1310000000000002</v>
      </c>
      <c r="M164" s="17" t="s">
        <v>29</v>
      </c>
      <c r="N164" s="18">
        <v>100</v>
      </c>
      <c r="O164" s="18">
        <v>21</v>
      </c>
      <c r="P164" s="15">
        <v>0.1</v>
      </c>
      <c r="Q164" s="1" t="s">
        <v>1</v>
      </c>
      <c r="R164" s="20" t="str">
        <f t="shared" si="11"/>
        <v>horizontal</v>
      </c>
      <c r="S164" s="19">
        <v>-0.1</v>
      </c>
      <c r="T164" s="19">
        <v>0</v>
      </c>
      <c r="U164" s="19">
        <v>0</v>
      </c>
      <c r="V164" s="20">
        <v>0</v>
      </c>
      <c r="W164" s="20">
        <v>-1</v>
      </c>
      <c r="Y164" s="18">
        <v>19</v>
      </c>
      <c r="Z164" s="15">
        <v>100</v>
      </c>
      <c r="AA164" s="16">
        <v>0.41199999999999998</v>
      </c>
      <c r="AB164" s="16">
        <v>5.4429999999999996</v>
      </c>
      <c r="AC164" s="16">
        <f t="shared" si="9"/>
        <v>0.27600000000000069</v>
      </c>
      <c r="AD164" s="21">
        <v>1.1112329836658901</v>
      </c>
      <c r="AE164" s="22" t="str">
        <f t="shared" si="12"/>
        <v>UC Berkeley Lab</v>
      </c>
      <c r="AF164" s="22" t="s">
        <v>47</v>
      </c>
    </row>
    <row r="165" spans="1:32" x14ac:dyDescent="0.2">
      <c r="A165" s="1">
        <v>273</v>
      </c>
      <c r="B165" s="13">
        <v>43658</v>
      </c>
      <c r="C165" s="1" t="s">
        <v>34</v>
      </c>
      <c r="D165" s="1" t="s">
        <v>4</v>
      </c>
      <c r="E165" s="1" t="s">
        <v>25</v>
      </c>
      <c r="F165" s="15">
        <v>2.5</v>
      </c>
      <c r="G165" s="15">
        <v>0</v>
      </c>
      <c r="H165" s="15">
        <v>4</v>
      </c>
      <c r="I165" s="15">
        <v>2.5</v>
      </c>
      <c r="J165" s="16">
        <v>5.4257</v>
      </c>
      <c r="K165" s="16">
        <v>0.69510000000000005</v>
      </c>
      <c r="L165" s="16">
        <f t="shared" si="10"/>
        <v>6.1208</v>
      </c>
      <c r="M165" s="17" t="s">
        <v>29</v>
      </c>
      <c r="N165" s="18">
        <v>100</v>
      </c>
      <c r="O165" s="18">
        <v>21</v>
      </c>
      <c r="P165" s="15">
        <v>0.1</v>
      </c>
      <c r="Q165" s="1" t="s">
        <v>1</v>
      </c>
      <c r="R165" s="20" t="str">
        <f t="shared" si="11"/>
        <v>horizontal</v>
      </c>
      <c r="S165" s="19">
        <v>-0.1</v>
      </c>
      <c r="T165" s="19">
        <v>0</v>
      </c>
      <c r="U165" s="19">
        <v>0</v>
      </c>
      <c r="V165" s="20">
        <v>0</v>
      </c>
      <c r="W165" s="20">
        <v>-1</v>
      </c>
      <c r="Y165" s="18">
        <v>21</v>
      </c>
      <c r="Z165" s="15">
        <v>100</v>
      </c>
      <c r="AA165" s="16">
        <v>0.39600000000000002</v>
      </c>
      <c r="AB165" s="16">
        <v>5.43</v>
      </c>
      <c r="AC165" s="16">
        <f t="shared" si="9"/>
        <v>0.2948000000000004</v>
      </c>
      <c r="AD165" s="21">
        <v>1.3840788682121601</v>
      </c>
      <c r="AE165" s="22" t="str">
        <f t="shared" si="12"/>
        <v>UC Berkeley Lab</v>
      </c>
      <c r="AF165" s="22" t="s">
        <v>47</v>
      </c>
    </row>
    <row r="166" spans="1:32" x14ac:dyDescent="0.2">
      <c r="A166" s="1">
        <v>274</v>
      </c>
      <c r="B166" s="13">
        <v>43658</v>
      </c>
      <c r="C166" s="1" t="s">
        <v>34</v>
      </c>
      <c r="D166" s="1" t="s">
        <v>4</v>
      </c>
      <c r="E166" s="1" t="s">
        <v>25</v>
      </c>
      <c r="F166" s="15">
        <v>2.5</v>
      </c>
      <c r="G166" s="15">
        <v>0</v>
      </c>
      <c r="H166" s="15">
        <v>4</v>
      </c>
      <c r="I166" s="15">
        <v>2.5</v>
      </c>
      <c r="J166" s="16">
        <v>5.4222999999999999</v>
      </c>
      <c r="K166" s="16">
        <v>0.69299999999999995</v>
      </c>
      <c r="L166" s="16">
        <f t="shared" si="10"/>
        <v>6.1152999999999995</v>
      </c>
      <c r="M166" s="17" t="s">
        <v>29</v>
      </c>
      <c r="N166" s="18">
        <v>100</v>
      </c>
      <c r="O166" s="18">
        <v>21</v>
      </c>
      <c r="P166" s="15">
        <v>0.1</v>
      </c>
      <c r="Q166" s="1" t="s">
        <v>1</v>
      </c>
      <c r="R166" s="20" t="str">
        <f t="shared" si="11"/>
        <v>horizontal</v>
      </c>
      <c r="S166" s="19">
        <v>-0.1</v>
      </c>
      <c r="T166" s="19">
        <v>0</v>
      </c>
      <c r="U166" s="19">
        <v>0</v>
      </c>
      <c r="V166" s="20">
        <v>0</v>
      </c>
      <c r="W166" s="20">
        <v>-1</v>
      </c>
      <c r="Y166" s="18">
        <v>55</v>
      </c>
      <c r="Z166" s="15">
        <v>100</v>
      </c>
      <c r="AA166" s="16">
        <v>0.34899999999999998</v>
      </c>
      <c r="AB166" s="16">
        <v>5.431</v>
      </c>
      <c r="AC166" s="16">
        <f t="shared" si="9"/>
        <v>0.33529999999999927</v>
      </c>
      <c r="AD166" s="21">
        <v>1.38797532294842</v>
      </c>
      <c r="AE166" s="22" t="str">
        <f t="shared" si="12"/>
        <v>UC Berkeley Lab</v>
      </c>
      <c r="AF166" s="22" t="s">
        <v>48</v>
      </c>
    </row>
    <row r="167" spans="1:32" x14ac:dyDescent="0.2">
      <c r="A167" s="1">
        <v>275</v>
      </c>
      <c r="B167" s="13">
        <v>43658</v>
      </c>
      <c r="C167" s="1" t="s">
        <v>34</v>
      </c>
      <c r="D167" s="1" t="s">
        <v>4</v>
      </c>
      <c r="E167" s="1" t="s">
        <v>25</v>
      </c>
      <c r="F167" s="15">
        <v>2.5</v>
      </c>
      <c r="G167" s="15">
        <v>0</v>
      </c>
      <c r="H167" s="15">
        <v>4</v>
      </c>
      <c r="I167" s="15">
        <v>2.5</v>
      </c>
      <c r="J167" s="16">
        <v>5.4222000000000001</v>
      </c>
      <c r="K167" s="16">
        <v>0.6996</v>
      </c>
      <c r="L167" s="16">
        <f t="shared" si="10"/>
        <v>6.1218000000000004</v>
      </c>
      <c r="M167" s="17" t="s">
        <v>29</v>
      </c>
      <c r="N167" s="18">
        <v>100</v>
      </c>
      <c r="O167" s="18">
        <v>21</v>
      </c>
      <c r="P167" s="15">
        <v>0.1</v>
      </c>
      <c r="Q167" s="1" t="s">
        <v>1</v>
      </c>
      <c r="R167" s="20" t="str">
        <f t="shared" si="11"/>
        <v>horizontal</v>
      </c>
      <c r="S167" s="19">
        <v>-0.1</v>
      </c>
      <c r="T167" s="19">
        <v>0</v>
      </c>
      <c r="U167" s="19">
        <v>0</v>
      </c>
      <c r="V167" s="20">
        <v>0</v>
      </c>
      <c r="W167" s="20">
        <v>-1</v>
      </c>
      <c r="Y167" s="18">
        <v>55</v>
      </c>
      <c r="Z167" s="15">
        <v>100</v>
      </c>
      <c r="AA167" s="16">
        <v>0.34599999999999997</v>
      </c>
      <c r="AB167" s="16">
        <v>5.4320000000000004</v>
      </c>
      <c r="AC167" s="16">
        <f t="shared" si="9"/>
        <v>0.34379999999999988</v>
      </c>
      <c r="AD167" s="21">
        <v>1.3663803298161099</v>
      </c>
      <c r="AE167" s="22" t="str">
        <f t="shared" si="12"/>
        <v>UC Berkeley Lab</v>
      </c>
      <c r="AF167" s="22" t="s">
        <v>48</v>
      </c>
    </row>
    <row r="168" spans="1:32" x14ac:dyDescent="0.2">
      <c r="A168" s="1">
        <v>276</v>
      </c>
      <c r="B168" s="13">
        <v>43658</v>
      </c>
      <c r="C168" s="1" t="s">
        <v>34</v>
      </c>
      <c r="D168" s="1" t="s">
        <v>4</v>
      </c>
      <c r="E168" s="1" t="s">
        <v>25</v>
      </c>
      <c r="F168" s="15">
        <v>2.5</v>
      </c>
      <c r="G168" s="15">
        <v>0</v>
      </c>
      <c r="H168" s="15">
        <v>4</v>
      </c>
      <c r="I168" s="15">
        <v>2.5</v>
      </c>
      <c r="J168" s="16">
        <v>5.4390999999999998</v>
      </c>
      <c r="K168" s="16">
        <v>0.69830000000000003</v>
      </c>
      <c r="L168" s="16">
        <f t="shared" si="10"/>
        <v>6.1373999999999995</v>
      </c>
      <c r="M168" s="17" t="s">
        <v>29</v>
      </c>
      <c r="N168" s="18">
        <v>100</v>
      </c>
      <c r="O168" s="18">
        <v>21</v>
      </c>
      <c r="P168" s="15">
        <v>0.1</v>
      </c>
      <c r="Q168" s="1" t="s">
        <v>1</v>
      </c>
      <c r="R168" s="20" t="str">
        <f t="shared" si="11"/>
        <v>horizontal</v>
      </c>
      <c r="S168" s="19">
        <v>-0.1</v>
      </c>
      <c r="T168" s="19">
        <v>0</v>
      </c>
      <c r="U168" s="19">
        <v>0</v>
      </c>
      <c r="V168" s="20">
        <v>0</v>
      </c>
      <c r="W168" s="20">
        <v>-1</v>
      </c>
      <c r="Y168" s="18">
        <v>100</v>
      </c>
      <c r="Z168" s="15">
        <v>100</v>
      </c>
      <c r="AA168" s="16">
        <v>0.36</v>
      </c>
      <c r="AB168" s="16">
        <v>5.4450000000000003</v>
      </c>
      <c r="AC168" s="16">
        <f t="shared" si="9"/>
        <v>0.33239999999999892</v>
      </c>
      <c r="AD168" s="21">
        <v>1.51865736728319</v>
      </c>
      <c r="AE168" s="22" t="str">
        <f t="shared" si="12"/>
        <v>UC Berkeley Lab</v>
      </c>
      <c r="AF168" s="22" t="s">
        <v>49</v>
      </c>
    </row>
    <row r="169" spans="1:32" x14ac:dyDescent="0.2">
      <c r="A169" s="1">
        <v>277</v>
      </c>
      <c r="B169" s="13">
        <v>43658</v>
      </c>
      <c r="C169" s="1" t="s">
        <v>34</v>
      </c>
      <c r="D169" s="1" t="s">
        <v>4</v>
      </c>
      <c r="E169" s="1" t="s">
        <v>25</v>
      </c>
      <c r="F169" s="15">
        <v>2.5</v>
      </c>
      <c r="G169" s="15">
        <v>0</v>
      </c>
      <c r="H169" s="15">
        <v>3</v>
      </c>
      <c r="I169" s="15">
        <v>2.5</v>
      </c>
      <c r="J169" s="16">
        <v>5.4326999999999996</v>
      </c>
      <c r="K169" s="16">
        <v>0.69589999999999996</v>
      </c>
      <c r="L169" s="16">
        <f t="shared" si="10"/>
        <v>6.1285999999999996</v>
      </c>
      <c r="M169" s="17" t="s">
        <v>29</v>
      </c>
      <c r="N169" s="18">
        <v>100</v>
      </c>
      <c r="O169" s="18">
        <v>21</v>
      </c>
      <c r="P169" s="15">
        <v>0.1</v>
      </c>
      <c r="Q169" s="1" t="s">
        <v>1</v>
      </c>
      <c r="R169" s="20" t="str">
        <f t="shared" si="11"/>
        <v>horizontal</v>
      </c>
      <c r="S169" s="19">
        <v>-0.1</v>
      </c>
      <c r="T169" s="19">
        <v>0</v>
      </c>
      <c r="U169" s="19">
        <v>0</v>
      </c>
      <c r="V169" s="20">
        <v>0</v>
      </c>
      <c r="W169" s="20">
        <v>-1</v>
      </c>
      <c r="Y169" s="18">
        <v>101</v>
      </c>
      <c r="Z169" s="15">
        <v>100</v>
      </c>
      <c r="AA169" s="16">
        <v>0.36299999999999999</v>
      </c>
      <c r="AB169" s="16">
        <v>5.4409999999999998</v>
      </c>
      <c r="AC169" s="16">
        <f t="shared" si="9"/>
        <v>0.32459999999999933</v>
      </c>
      <c r="AD169" s="21">
        <v>1.4165018138379699</v>
      </c>
      <c r="AE169" s="22" t="str">
        <f t="shared" si="12"/>
        <v>UC Berkeley Lab</v>
      </c>
      <c r="AF169" s="22" t="s">
        <v>49</v>
      </c>
    </row>
    <row r="170" spans="1:32" x14ac:dyDescent="0.2">
      <c r="A170" s="1">
        <v>278</v>
      </c>
      <c r="B170" s="13">
        <v>43658</v>
      </c>
      <c r="C170" s="1" t="s">
        <v>34</v>
      </c>
      <c r="D170" s="1" t="s">
        <v>4</v>
      </c>
      <c r="E170" s="1" t="s">
        <v>25</v>
      </c>
      <c r="F170" s="15">
        <v>2.5</v>
      </c>
      <c r="G170" s="15">
        <v>0</v>
      </c>
      <c r="H170" s="15">
        <v>3</v>
      </c>
      <c r="I170" s="15">
        <v>2.5</v>
      </c>
      <c r="J170" s="16">
        <v>5.4100999999999999</v>
      </c>
      <c r="K170" s="16">
        <v>0.69910000000000005</v>
      </c>
      <c r="L170" s="16">
        <f t="shared" si="10"/>
        <v>6.1091999999999995</v>
      </c>
      <c r="M170" s="17" t="s">
        <v>29</v>
      </c>
      <c r="N170" s="18">
        <v>100</v>
      </c>
      <c r="O170" s="18">
        <v>21</v>
      </c>
      <c r="P170" s="15">
        <v>0.1</v>
      </c>
      <c r="Q170" s="1" t="s">
        <v>1</v>
      </c>
      <c r="R170" s="20" t="str">
        <f t="shared" si="11"/>
        <v>horizontal</v>
      </c>
      <c r="S170" s="19">
        <v>-0.1</v>
      </c>
      <c r="T170" s="19">
        <v>0</v>
      </c>
      <c r="U170" s="19">
        <v>0</v>
      </c>
      <c r="V170" s="20">
        <v>0</v>
      </c>
      <c r="W170" s="20">
        <v>-1</v>
      </c>
      <c r="Y170" s="18">
        <v>20</v>
      </c>
      <c r="Z170" s="15">
        <v>100</v>
      </c>
      <c r="AA170" s="16">
        <v>0.38700000000000001</v>
      </c>
      <c r="AB170" s="16">
        <v>5.4240000000000004</v>
      </c>
      <c r="AC170" s="16">
        <f t="shared" si="9"/>
        <v>0.29819999999999869</v>
      </c>
      <c r="AD170" s="21">
        <v>1.1909696203954301</v>
      </c>
      <c r="AE170" s="22" t="str">
        <f t="shared" si="12"/>
        <v>UC Berkeley Lab</v>
      </c>
      <c r="AF170" s="22" t="s">
        <v>47</v>
      </c>
    </row>
    <row r="171" spans="1:32" x14ac:dyDescent="0.2">
      <c r="A171" s="1">
        <v>279</v>
      </c>
      <c r="B171" s="13">
        <v>43658</v>
      </c>
      <c r="C171" s="1" t="s">
        <v>34</v>
      </c>
      <c r="D171" s="1" t="s">
        <v>4</v>
      </c>
      <c r="E171" s="1" t="s">
        <v>25</v>
      </c>
      <c r="F171" s="15">
        <v>1.8</v>
      </c>
      <c r="G171" s="15">
        <v>0</v>
      </c>
      <c r="H171" s="15">
        <v>3</v>
      </c>
      <c r="I171" s="15">
        <v>1.8</v>
      </c>
      <c r="J171" s="16">
        <v>2.8066</v>
      </c>
      <c r="K171" s="16">
        <v>0.41542000000000001</v>
      </c>
      <c r="L171" s="16">
        <f t="shared" si="10"/>
        <v>3.2220200000000001</v>
      </c>
      <c r="M171" s="17" t="s">
        <v>29</v>
      </c>
      <c r="N171" s="18">
        <v>100</v>
      </c>
      <c r="O171" s="18">
        <v>21</v>
      </c>
      <c r="P171" s="15">
        <v>0.1</v>
      </c>
      <c r="Q171" s="1" t="s">
        <v>1</v>
      </c>
      <c r="R171" s="20" t="str">
        <f t="shared" si="11"/>
        <v>horizontal</v>
      </c>
      <c r="S171" s="19">
        <v>-0.1</v>
      </c>
      <c r="T171" s="19">
        <v>0</v>
      </c>
      <c r="U171" s="19">
        <v>0</v>
      </c>
      <c r="V171" s="20">
        <v>0</v>
      </c>
      <c r="W171" s="20">
        <v>-1</v>
      </c>
      <c r="Y171" s="18">
        <v>19</v>
      </c>
      <c r="Z171" s="15">
        <v>100</v>
      </c>
      <c r="AA171" s="16">
        <v>0.28399999999999997</v>
      </c>
      <c r="AB171" s="16">
        <v>2.8170000000000002</v>
      </c>
      <c r="AC171" s="16">
        <f t="shared" si="9"/>
        <v>0.12102000000000013</v>
      </c>
      <c r="AD171" s="21">
        <v>1.6572374005939701</v>
      </c>
      <c r="AE171" s="22" t="str">
        <f t="shared" si="12"/>
        <v>UC Berkeley Lab</v>
      </c>
      <c r="AF171" s="22" t="s">
        <v>47</v>
      </c>
    </row>
    <row r="172" spans="1:32" x14ac:dyDescent="0.2">
      <c r="A172" s="1">
        <v>280</v>
      </c>
      <c r="B172" s="13">
        <v>43658</v>
      </c>
      <c r="C172" s="1" t="s">
        <v>34</v>
      </c>
      <c r="D172" s="1" t="s">
        <v>4</v>
      </c>
      <c r="E172" s="1" t="s">
        <v>25</v>
      </c>
      <c r="F172" s="15">
        <v>1.8</v>
      </c>
      <c r="G172" s="15">
        <v>0</v>
      </c>
      <c r="H172" s="15">
        <v>3</v>
      </c>
      <c r="I172" s="15">
        <v>1.8</v>
      </c>
      <c r="J172" s="16">
        <v>2.8050999999999999</v>
      </c>
      <c r="K172" s="16">
        <v>0.4148</v>
      </c>
      <c r="L172" s="16">
        <f t="shared" si="10"/>
        <v>3.2199</v>
      </c>
      <c r="M172" s="17" t="s">
        <v>29</v>
      </c>
      <c r="N172" s="18">
        <v>100</v>
      </c>
      <c r="O172" s="18">
        <v>21</v>
      </c>
      <c r="P172" s="15">
        <v>0.1</v>
      </c>
      <c r="Q172" s="1" t="s">
        <v>1</v>
      </c>
      <c r="R172" s="20" t="str">
        <f t="shared" si="11"/>
        <v>horizontal</v>
      </c>
      <c r="S172" s="19">
        <v>-0.1</v>
      </c>
      <c r="T172" s="19">
        <v>0</v>
      </c>
      <c r="U172" s="19">
        <v>0</v>
      </c>
      <c r="V172" s="20">
        <v>0</v>
      </c>
      <c r="W172" s="20">
        <v>-1</v>
      </c>
      <c r="Y172" s="18">
        <v>20</v>
      </c>
      <c r="Z172" s="15">
        <v>100</v>
      </c>
      <c r="AA172" s="16">
        <v>0.25</v>
      </c>
      <c r="AB172" s="16">
        <v>2.8170000000000002</v>
      </c>
      <c r="AC172" s="16">
        <f t="shared" si="9"/>
        <v>0.15289999999999981</v>
      </c>
      <c r="AD172" s="21">
        <v>1.66744277244114</v>
      </c>
      <c r="AE172" s="22" t="str">
        <f t="shared" si="12"/>
        <v>UC Berkeley Lab</v>
      </c>
      <c r="AF172" s="22" t="s">
        <v>47</v>
      </c>
    </row>
    <row r="173" spans="1:32" x14ac:dyDescent="0.2">
      <c r="A173" s="1">
        <v>281</v>
      </c>
      <c r="B173" s="13">
        <v>43658</v>
      </c>
      <c r="C173" s="1" t="s">
        <v>34</v>
      </c>
      <c r="D173" s="1" t="s">
        <v>4</v>
      </c>
      <c r="E173" s="1" t="s">
        <v>25</v>
      </c>
      <c r="F173" s="15">
        <v>1.8</v>
      </c>
      <c r="G173" s="15">
        <v>0</v>
      </c>
      <c r="H173" s="15">
        <v>3</v>
      </c>
      <c r="I173" s="15">
        <v>1.8</v>
      </c>
      <c r="J173" s="16">
        <v>2.8056999999999999</v>
      </c>
      <c r="K173" s="16">
        <v>0.41589999999999999</v>
      </c>
      <c r="L173" s="16">
        <f t="shared" si="10"/>
        <v>3.2216</v>
      </c>
      <c r="M173" s="17" t="s">
        <v>29</v>
      </c>
      <c r="N173" s="18">
        <v>100</v>
      </c>
      <c r="O173" s="18">
        <v>21</v>
      </c>
      <c r="P173" s="15">
        <v>0.1</v>
      </c>
      <c r="Q173" s="1" t="s">
        <v>1</v>
      </c>
      <c r="R173" s="20" t="str">
        <f t="shared" si="11"/>
        <v>horizontal</v>
      </c>
      <c r="S173" s="19">
        <v>-0.1</v>
      </c>
      <c r="T173" s="19">
        <v>0</v>
      </c>
      <c r="U173" s="19">
        <v>0</v>
      </c>
      <c r="V173" s="20">
        <v>0</v>
      </c>
      <c r="W173" s="20">
        <v>-1</v>
      </c>
      <c r="Y173" s="18">
        <v>43</v>
      </c>
      <c r="Z173" s="15">
        <v>100</v>
      </c>
      <c r="AA173" s="16">
        <v>0.252</v>
      </c>
      <c r="AB173" s="16">
        <v>2.8119999999999998</v>
      </c>
      <c r="AC173" s="16">
        <f t="shared" ref="AC173:AC236" si="13">L173-AA173-AB173</f>
        <v>0.15759999999999996</v>
      </c>
      <c r="AD173" s="21">
        <v>1.6609222290243399</v>
      </c>
      <c r="AE173" s="22" t="str">
        <f t="shared" si="12"/>
        <v>UC Berkeley Lab</v>
      </c>
      <c r="AF173" s="22" t="s">
        <v>48</v>
      </c>
    </row>
    <row r="174" spans="1:32" x14ac:dyDescent="0.2">
      <c r="A174" s="1">
        <v>282</v>
      </c>
      <c r="B174" s="13">
        <v>43658</v>
      </c>
      <c r="C174" s="1" t="s">
        <v>34</v>
      </c>
      <c r="D174" s="1" t="s">
        <v>4</v>
      </c>
      <c r="E174" s="1" t="s">
        <v>25</v>
      </c>
      <c r="F174" s="15">
        <v>1.8</v>
      </c>
      <c r="G174" s="15">
        <v>0</v>
      </c>
      <c r="H174" s="15">
        <v>3</v>
      </c>
      <c r="I174" s="15">
        <v>1.8</v>
      </c>
      <c r="J174" s="16">
        <v>2.8066</v>
      </c>
      <c r="K174" s="16">
        <v>0.41560000000000002</v>
      </c>
      <c r="L174" s="16">
        <f t="shared" si="10"/>
        <v>3.2222</v>
      </c>
      <c r="M174" s="17" t="s">
        <v>29</v>
      </c>
      <c r="N174" s="18">
        <v>100</v>
      </c>
      <c r="O174" s="18">
        <v>21</v>
      </c>
      <c r="P174" s="15">
        <v>0.1</v>
      </c>
      <c r="Q174" s="1" t="s">
        <v>1</v>
      </c>
      <c r="R174" s="20" t="str">
        <f t="shared" si="11"/>
        <v>horizontal</v>
      </c>
      <c r="S174" s="19">
        <v>-0.1</v>
      </c>
      <c r="T174" s="19">
        <v>0</v>
      </c>
      <c r="U174" s="19">
        <v>0</v>
      </c>
      <c r="V174" s="20">
        <v>0</v>
      </c>
      <c r="W174" s="20">
        <v>-1</v>
      </c>
      <c r="Y174" s="18">
        <v>42</v>
      </c>
      <c r="Z174" s="15">
        <v>100</v>
      </c>
      <c r="AA174" s="16">
        <v>0.23400000000000001</v>
      </c>
      <c r="AB174" s="16">
        <v>2.8149999999999999</v>
      </c>
      <c r="AC174" s="16">
        <f t="shared" si="13"/>
        <v>0.17320000000000002</v>
      </c>
      <c r="AD174" s="21">
        <v>1.56959040385858</v>
      </c>
      <c r="AE174" s="22" t="str">
        <f t="shared" si="12"/>
        <v>UC Berkeley Lab</v>
      </c>
      <c r="AF174" s="22" t="s">
        <v>48</v>
      </c>
    </row>
    <row r="175" spans="1:32" x14ac:dyDescent="0.2">
      <c r="A175" s="1">
        <v>283</v>
      </c>
      <c r="B175" s="13">
        <v>43658</v>
      </c>
      <c r="C175" s="1" t="s">
        <v>34</v>
      </c>
      <c r="D175" s="1" t="s">
        <v>4</v>
      </c>
      <c r="E175" s="1" t="s">
        <v>25</v>
      </c>
      <c r="F175" s="15">
        <v>1.8</v>
      </c>
      <c r="G175" s="15">
        <v>0</v>
      </c>
      <c r="H175" s="15">
        <v>3</v>
      </c>
      <c r="I175" s="15">
        <v>1.8</v>
      </c>
      <c r="J175" s="16">
        <v>2.8075000000000001</v>
      </c>
      <c r="K175" s="16">
        <v>0.41589999999999999</v>
      </c>
      <c r="L175" s="16">
        <f t="shared" si="10"/>
        <v>3.2234000000000003</v>
      </c>
      <c r="M175" s="17" t="s">
        <v>29</v>
      </c>
      <c r="N175" s="18">
        <v>100</v>
      </c>
      <c r="O175" s="18">
        <v>21</v>
      </c>
      <c r="P175" s="15">
        <v>0.1</v>
      </c>
      <c r="Q175" s="1" t="s">
        <v>1</v>
      </c>
      <c r="R175" s="20" t="str">
        <f t="shared" si="11"/>
        <v>horizontal</v>
      </c>
      <c r="S175" s="19">
        <v>-0.1</v>
      </c>
      <c r="T175" s="19">
        <v>0</v>
      </c>
      <c r="U175" s="19">
        <v>0</v>
      </c>
      <c r="V175" s="20">
        <v>0</v>
      </c>
      <c r="W175" s="20">
        <v>-1</v>
      </c>
      <c r="Y175" s="18">
        <v>90</v>
      </c>
      <c r="Z175" s="15">
        <v>100</v>
      </c>
      <c r="AA175" s="16">
        <v>0.26400000000000001</v>
      </c>
      <c r="AB175" s="16">
        <v>2.8170000000000002</v>
      </c>
      <c r="AC175" s="16">
        <f t="shared" si="13"/>
        <v>0.1424000000000003</v>
      </c>
      <c r="AD175" s="21">
        <v>1.63925051271317</v>
      </c>
      <c r="AE175" s="22" t="str">
        <f t="shared" si="12"/>
        <v>UC Berkeley Lab</v>
      </c>
      <c r="AF175" s="22" t="s">
        <v>49</v>
      </c>
    </row>
    <row r="176" spans="1:32" x14ac:dyDescent="0.2">
      <c r="A176" s="1">
        <v>284</v>
      </c>
      <c r="B176" s="13">
        <v>43658</v>
      </c>
      <c r="C176" s="1" t="s">
        <v>34</v>
      </c>
      <c r="D176" s="1" t="s">
        <v>4</v>
      </c>
      <c r="E176" s="1" t="s">
        <v>25</v>
      </c>
      <c r="F176" s="15">
        <v>1.8</v>
      </c>
      <c r="G176" s="15">
        <v>0</v>
      </c>
      <c r="H176" s="15">
        <v>3</v>
      </c>
      <c r="I176" s="15">
        <v>1.8</v>
      </c>
      <c r="J176" s="16">
        <v>2.8033999999999999</v>
      </c>
      <c r="K176" s="16">
        <v>0.41670000000000001</v>
      </c>
      <c r="L176" s="16">
        <f t="shared" si="10"/>
        <v>3.2201</v>
      </c>
      <c r="M176" s="17" t="s">
        <v>29</v>
      </c>
      <c r="N176" s="18">
        <v>100</v>
      </c>
      <c r="O176" s="18">
        <v>21</v>
      </c>
      <c r="P176" s="15">
        <v>0.1</v>
      </c>
      <c r="Q176" s="1" t="s">
        <v>1</v>
      </c>
      <c r="R176" s="20" t="str">
        <f t="shared" si="11"/>
        <v>horizontal</v>
      </c>
      <c r="S176" s="19">
        <v>-0.1</v>
      </c>
      <c r="T176" s="19">
        <v>0</v>
      </c>
      <c r="U176" s="19">
        <v>0</v>
      </c>
      <c r="V176" s="20">
        <v>0</v>
      </c>
      <c r="W176" s="20">
        <v>-1</v>
      </c>
      <c r="Y176" s="18">
        <v>107</v>
      </c>
      <c r="Z176" s="15">
        <v>100</v>
      </c>
      <c r="AA176" s="16">
        <v>0.247</v>
      </c>
      <c r="AB176" s="16">
        <v>2.8109999999999999</v>
      </c>
      <c r="AC176" s="16">
        <f t="shared" si="13"/>
        <v>0.16210000000000013</v>
      </c>
      <c r="AD176" s="21">
        <v>1.6605978034212301</v>
      </c>
      <c r="AE176" s="22" t="str">
        <f t="shared" si="12"/>
        <v>UC Berkeley Lab</v>
      </c>
      <c r="AF176" s="22" t="s">
        <v>49</v>
      </c>
    </row>
    <row r="177" spans="1:32" x14ac:dyDescent="0.2">
      <c r="A177" s="1">
        <v>286</v>
      </c>
      <c r="B177" s="13">
        <v>43665</v>
      </c>
      <c r="C177" s="1" t="s">
        <v>35</v>
      </c>
      <c r="D177" s="1" t="s">
        <v>4</v>
      </c>
      <c r="E177" s="1" t="s">
        <v>25</v>
      </c>
      <c r="F177" s="15">
        <v>0.64</v>
      </c>
      <c r="G177" s="15">
        <v>0</v>
      </c>
      <c r="H177" s="15">
        <v>4</v>
      </c>
      <c r="I177" s="15">
        <v>0.7</v>
      </c>
      <c r="J177" s="16">
        <v>0.36899999999999999</v>
      </c>
      <c r="K177" s="16">
        <v>1.1240000000000001</v>
      </c>
      <c r="L177" s="16">
        <f t="shared" si="10"/>
        <v>1.4930000000000001</v>
      </c>
      <c r="M177" s="17" t="s">
        <v>29</v>
      </c>
      <c r="N177" s="18">
        <v>100</v>
      </c>
      <c r="O177" s="18">
        <v>21</v>
      </c>
      <c r="P177" s="15">
        <v>0.17</v>
      </c>
      <c r="Q177" s="1" t="s">
        <v>1</v>
      </c>
      <c r="R177" s="20" t="str">
        <f t="shared" si="11"/>
        <v>horizontal</v>
      </c>
      <c r="S177" s="19">
        <v>-0.17</v>
      </c>
      <c r="T177" s="19">
        <v>0</v>
      </c>
      <c r="U177" s="19">
        <v>0</v>
      </c>
      <c r="V177" s="20">
        <v>0</v>
      </c>
      <c r="W177" s="20">
        <v>-1</v>
      </c>
      <c r="Y177" s="18">
        <v>35</v>
      </c>
      <c r="Z177" s="15">
        <v>60.049599999999998</v>
      </c>
      <c r="AA177" s="16">
        <v>0.31</v>
      </c>
      <c r="AB177" s="16">
        <v>0.36599999999999999</v>
      </c>
      <c r="AC177" s="16">
        <f t="shared" si="13"/>
        <v>0.81700000000000006</v>
      </c>
      <c r="AD177" s="21">
        <v>0.40597640110025501</v>
      </c>
      <c r="AE177" s="22" t="str">
        <f t="shared" si="12"/>
        <v>UC Berkeley Lab</v>
      </c>
      <c r="AF177" s="22" t="s">
        <v>48</v>
      </c>
    </row>
    <row r="178" spans="1:32" x14ac:dyDescent="0.2">
      <c r="A178" s="1">
        <v>287</v>
      </c>
      <c r="B178" s="13">
        <v>43665</v>
      </c>
      <c r="C178" s="1" t="s">
        <v>35</v>
      </c>
      <c r="D178" s="1" t="s">
        <v>4</v>
      </c>
      <c r="E178" s="1" t="s">
        <v>25</v>
      </c>
      <c r="F178" s="15">
        <v>0.64</v>
      </c>
      <c r="G178" s="15">
        <v>0</v>
      </c>
      <c r="H178" s="15">
        <v>4</v>
      </c>
      <c r="I178" s="15">
        <v>0.7</v>
      </c>
      <c r="J178" s="16">
        <v>0.37</v>
      </c>
      <c r="K178" s="16">
        <v>1.1279999999999999</v>
      </c>
      <c r="L178" s="16">
        <f t="shared" si="10"/>
        <v>1.4979999999999998</v>
      </c>
      <c r="M178" s="17" t="s">
        <v>29</v>
      </c>
      <c r="N178" s="18">
        <v>100</v>
      </c>
      <c r="O178" s="18">
        <v>21</v>
      </c>
      <c r="P178" s="15">
        <v>0.17</v>
      </c>
      <c r="Q178" s="1" t="s">
        <v>1</v>
      </c>
      <c r="R178" s="20" t="str">
        <f t="shared" si="11"/>
        <v>horizontal</v>
      </c>
      <c r="S178" s="19">
        <v>-0.17</v>
      </c>
      <c r="T178" s="19">
        <v>0</v>
      </c>
      <c r="U178" s="19">
        <v>0</v>
      </c>
      <c r="V178" s="20">
        <v>0</v>
      </c>
      <c r="W178" s="20">
        <v>-1</v>
      </c>
      <c r="Y178" s="18">
        <v>193</v>
      </c>
      <c r="Z178" s="15">
        <v>59.925466666666665</v>
      </c>
      <c r="AA178" s="16">
        <v>0.29899999999999999</v>
      </c>
      <c r="AB178" s="16">
        <v>0.373</v>
      </c>
      <c r="AC178" s="16">
        <f t="shared" si="13"/>
        <v>0.82599999999999985</v>
      </c>
      <c r="AD178" s="21">
        <v>0.41384721434306199</v>
      </c>
      <c r="AE178" s="22" t="str">
        <f t="shared" si="12"/>
        <v>UC Berkeley Lab</v>
      </c>
      <c r="AF178" s="22" t="s">
        <v>49</v>
      </c>
    </row>
    <row r="179" spans="1:32" x14ac:dyDescent="0.2">
      <c r="A179" s="1">
        <v>289</v>
      </c>
      <c r="B179" s="13">
        <v>43668</v>
      </c>
      <c r="C179" s="1" t="s">
        <v>35</v>
      </c>
      <c r="D179" s="1" t="s">
        <v>4</v>
      </c>
      <c r="E179" s="1" t="s">
        <v>25</v>
      </c>
      <c r="F179" s="15">
        <v>1.8</v>
      </c>
      <c r="G179" s="15">
        <v>0</v>
      </c>
      <c r="H179" s="15">
        <v>3</v>
      </c>
      <c r="I179" s="15">
        <v>1.8</v>
      </c>
      <c r="J179" s="16">
        <v>2.8109999999999999</v>
      </c>
      <c r="K179" s="16">
        <v>0.41599999999999998</v>
      </c>
      <c r="L179" s="16">
        <f t="shared" si="10"/>
        <v>3.2269999999999999</v>
      </c>
      <c r="M179" s="17" t="s">
        <v>29</v>
      </c>
      <c r="N179" s="18">
        <v>100</v>
      </c>
      <c r="O179" s="18">
        <v>21</v>
      </c>
      <c r="P179" s="15">
        <v>0.17</v>
      </c>
      <c r="Q179" s="1" t="s">
        <v>1</v>
      </c>
      <c r="R179" s="20" t="str">
        <f t="shared" si="11"/>
        <v>horizontal</v>
      </c>
      <c r="S179" s="19">
        <v>-0.17</v>
      </c>
      <c r="T179" s="19">
        <v>0</v>
      </c>
      <c r="U179" s="19">
        <v>0</v>
      </c>
      <c r="V179" s="20">
        <v>0</v>
      </c>
      <c r="W179" s="20">
        <v>-1</v>
      </c>
      <c r="Y179" s="18">
        <v>42</v>
      </c>
      <c r="Z179" s="15">
        <v>60.095733333333335</v>
      </c>
      <c r="AA179" s="16">
        <v>0.18099999999999999</v>
      </c>
      <c r="AB179" s="16">
        <v>2.8580000000000001</v>
      </c>
      <c r="AC179" s="16">
        <f t="shared" si="13"/>
        <v>0.18799999999999972</v>
      </c>
      <c r="AD179" s="21">
        <v>0.59715243587451305</v>
      </c>
      <c r="AE179" s="22" t="str">
        <f t="shared" si="12"/>
        <v>UC Berkeley Lab</v>
      </c>
      <c r="AF179" s="22" t="s">
        <v>48</v>
      </c>
    </row>
    <row r="180" spans="1:32" x14ac:dyDescent="0.2">
      <c r="A180" s="1">
        <v>290</v>
      </c>
      <c r="B180" s="13">
        <v>43668</v>
      </c>
      <c r="C180" s="1" t="s">
        <v>35</v>
      </c>
      <c r="D180" s="1" t="s">
        <v>4</v>
      </c>
      <c r="E180" s="1" t="s">
        <v>25</v>
      </c>
      <c r="F180" s="15">
        <v>1.8</v>
      </c>
      <c r="G180" s="15">
        <v>0</v>
      </c>
      <c r="H180" s="15">
        <v>3</v>
      </c>
      <c r="I180" s="15">
        <v>1.8</v>
      </c>
      <c r="J180" s="16">
        <v>2.8079999999999998</v>
      </c>
      <c r="K180" s="16">
        <v>0.41799999999999998</v>
      </c>
      <c r="L180" s="16">
        <f t="shared" si="10"/>
        <v>3.226</v>
      </c>
      <c r="M180" s="17" t="s">
        <v>29</v>
      </c>
      <c r="N180" s="18">
        <v>100</v>
      </c>
      <c r="O180" s="18">
        <v>21</v>
      </c>
      <c r="P180" s="15">
        <v>0.17</v>
      </c>
      <c r="Q180" s="1" t="s">
        <v>1</v>
      </c>
      <c r="R180" s="20" t="str">
        <f t="shared" si="11"/>
        <v>horizontal</v>
      </c>
      <c r="S180" s="19">
        <v>-0.17</v>
      </c>
      <c r="T180" s="19">
        <v>0</v>
      </c>
      <c r="U180" s="19">
        <v>0</v>
      </c>
      <c r="V180" s="20">
        <v>0</v>
      </c>
      <c r="W180" s="20">
        <v>-1</v>
      </c>
      <c r="Y180" s="18">
        <v>113</v>
      </c>
      <c r="Z180" s="15">
        <v>60.097499999999997</v>
      </c>
      <c r="AA180" s="16">
        <v>0.18099999999999999</v>
      </c>
      <c r="AB180" s="16">
        <v>2.8170000000000002</v>
      </c>
      <c r="AC180" s="16">
        <f t="shared" si="13"/>
        <v>0.22799999999999976</v>
      </c>
      <c r="AD180" s="21">
        <v>0.93081652974093598</v>
      </c>
      <c r="AE180" s="22" t="str">
        <f t="shared" si="12"/>
        <v>UC Berkeley Lab</v>
      </c>
      <c r="AF180" s="22" t="s">
        <v>49</v>
      </c>
    </row>
    <row r="181" spans="1:32" x14ac:dyDescent="0.2">
      <c r="A181" s="1">
        <v>292</v>
      </c>
      <c r="B181" s="13">
        <v>43669</v>
      </c>
      <c r="C181" s="1" t="s">
        <v>35</v>
      </c>
      <c r="D181" s="1" t="s">
        <v>4</v>
      </c>
      <c r="E181" s="1" t="s">
        <v>25</v>
      </c>
      <c r="F181" s="15">
        <v>2.5</v>
      </c>
      <c r="G181" s="15">
        <v>0</v>
      </c>
      <c r="H181" s="15">
        <v>4</v>
      </c>
      <c r="I181" s="15">
        <v>2.5</v>
      </c>
      <c r="J181" s="16">
        <v>5.45</v>
      </c>
      <c r="K181" s="16">
        <v>0.69799999999999995</v>
      </c>
      <c r="L181" s="16">
        <f t="shared" si="10"/>
        <v>6.1479999999999997</v>
      </c>
      <c r="M181" s="17" t="s">
        <v>29</v>
      </c>
      <c r="N181" s="18">
        <v>100</v>
      </c>
      <c r="O181" s="18">
        <v>21</v>
      </c>
      <c r="P181" s="15">
        <v>0.17</v>
      </c>
      <c r="Q181" s="1" t="s">
        <v>1</v>
      </c>
      <c r="R181" s="20" t="str">
        <f t="shared" si="11"/>
        <v>horizontal</v>
      </c>
      <c r="S181" s="19">
        <v>-0.17</v>
      </c>
      <c r="T181" s="19">
        <v>0</v>
      </c>
      <c r="U181" s="19">
        <v>0</v>
      </c>
      <c r="V181" s="20">
        <v>0</v>
      </c>
      <c r="W181" s="20">
        <v>-1</v>
      </c>
      <c r="Y181" s="18">
        <v>60</v>
      </c>
      <c r="Z181" s="15">
        <v>59.879366666666662</v>
      </c>
      <c r="AA181" s="16">
        <v>0.26300000000000001</v>
      </c>
      <c r="AB181" s="16">
        <v>5.5529999999999999</v>
      </c>
      <c r="AC181" s="16">
        <f t="shared" si="13"/>
        <v>0.33199999999999985</v>
      </c>
      <c r="AD181" s="21">
        <v>0.61229967890515102</v>
      </c>
      <c r="AE181" s="22" t="str">
        <f t="shared" si="12"/>
        <v>UC Berkeley Lab</v>
      </c>
      <c r="AF181" s="22" t="s">
        <v>48</v>
      </c>
    </row>
    <row r="182" spans="1:32" x14ac:dyDescent="0.2">
      <c r="A182" s="1">
        <v>293</v>
      </c>
      <c r="B182" s="13">
        <v>43669</v>
      </c>
      <c r="C182" s="1" t="s">
        <v>35</v>
      </c>
      <c r="D182" s="1" t="s">
        <v>4</v>
      </c>
      <c r="E182" s="1" t="s">
        <v>25</v>
      </c>
      <c r="F182" s="15">
        <v>2.5</v>
      </c>
      <c r="G182" s="15">
        <v>0</v>
      </c>
      <c r="H182" s="15">
        <v>4</v>
      </c>
      <c r="I182" s="15">
        <v>2.5</v>
      </c>
      <c r="J182" s="16">
        <v>5.45</v>
      </c>
      <c r="K182" s="16">
        <v>0.69699999999999995</v>
      </c>
      <c r="L182" s="16">
        <f t="shared" si="10"/>
        <v>6.1470000000000002</v>
      </c>
      <c r="M182" s="17" t="s">
        <v>29</v>
      </c>
      <c r="N182" s="18">
        <v>100</v>
      </c>
      <c r="O182" s="18">
        <v>21</v>
      </c>
      <c r="P182" s="15">
        <v>0.17</v>
      </c>
      <c r="Q182" s="1" t="s">
        <v>1</v>
      </c>
      <c r="R182" s="20" t="str">
        <f t="shared" si="11"/>
        <v>horizontal</v>
      </c>
      <c r="S182" s="19">
        <v>-0.17</v>
      </c>
      <c r="T182" s="19">
        <v>0</v>
      </c>
      <c r="U182" s="19">
        <v>0</v>
      </c>
      <c r="V182" s="20">
        <v>0</v>
      </c>
      <c r="W182" s="20">
        <v>-1</v>
      </c>
      <c r="Y182" s="18">
        <v>131</v>
      </c>
      <c r="Z182" s="15">
        <v>59.969799999999999</v>
      </c>
      <c r="AA182" s="16">
        <v>0.29699999999999999</v>
      </c>
      <c r="AB182" s="16">
        <v>5.45</v>
      </c>
      <c r="AC182" s="16">
        <f t="shared" si="13"/>
        <v>0.40000000000000036</v>
      </c>
      <c r="AD182" s="21">
        <v>1.1659867547535701</v>
      </c>
      <c r="AE182" s="22" t="str">
        <f t="shared" si="12"/>
        <v>UC Berkeley Lab</v>
      </c>
      <c r="AF182" s="22" t="s">
        <v>49</v>
      </c>
    </row>
    <row r="183" spans="1:32" x14ac:dyDescent="0.2">
      <c r="A183" s="1">
        <v>294</v>
      </c>
      <c r="B183" s="13">
        <v>43669</v>
      </c>
      <c r="C183" s="1" t="s">
        <v>35</v>
      </c>
      <c r="D183" s="1" t="s">
        <v>5</v>
      </c>
      <c r="E183" s="1" t="s">
        <v>25</v>
      </c>
      <c r="F183" s="15">
        <v>2.4</v>
      </c>
      <c r="G183" s="15">
        <v>2.2000000000000002</v>
      </c>
      <c r="H183" s="15">
        <v>4</v>
      </c>
      <c r="I183" s="15">
        <v>2.5</v>
      </c>
      <c r="J183" s="16">
        <v>0.95699999999999996</v>
      </c>
      <c r="K183" s="16">
        <v>0.69499999999999995</v>
      </c>
      <c r="L183" s="16">
        <f t="shared" si="10"/>
        <v>1.6519999999999999</v>
      </c>
      <c r="M183" s="17" t="s">
        <v>29</v>
      </c>
      <c r="N183" s="18">
        <v>100</v>
      </c>
      <c r="O183" s="18">
        <v>21</v>
      </c>
      <c r="P183" s="15">
        <v>0.17</v>
      </c>
      <c r="Q183" s="1" t="s">
        <v>1</v>
      </c>
      <c r="R183" s="20" t="str">
        <f t="shared" si="11"/>
        <v>horizontal</v>
      </c>
      <c r="S183" s="19">
        <v>-0.17</v>
      </c>
      <c r="T183" s="19">
        <v>0</v>
      </c>
      <c r="U183" s="19">
        <v>0</v>
      </c>
      <c r="V183" s="20">
        <v>0</v>
      </c>
      <c r="W183" s="20">
        <v>-1</v>
      </c>
      <c r="Y183" s="18">
        <v>18</v>
      </c>
      <c r="Z183" s="15">
        <v>60.030133333333332</v>
      </c>
      <c r="AA183" s="16">
        <v>0.185</v>
      </c>
      <c r="AB183" s="16">
        <v>0.95899999999999996</v>
      </c>
      <c r="AC183" s="16">
        <f t="shared" si="13"/>
        <v>0.5079999999999999</v>
      </c>
      <c r="AD183" s="21">
        <v>0.50076271987445298</v>
      </c>
      <c r="AE183" s="22" t="str">
        <f t="shared" si="12"/>
        <v>UC Berkeley Lab</v>
      </c>
      <c r="AF183" s="22" t="s">
        <v>47</v>
      </c>
    </row>
    <row r="184" spans="1:32" x14ac:dyDescent="0.2">
      <c r="A184" s="1">
        <v>295</v>
      </c>
      <c r="B184" s="13">
        <v>43669</v>
      </c>
      <c r="C184" s="1" t="s">
        <v>35</v>
      </c>
      <c r="D184" s="1" t="s">
        <v>5</v>
      </c>
      <c r="E184" s="1" t="s">
        <v>25</v>
      </c>
      <c r="F184" s="15">
        <v>2.4</v>
      </c>
      <c r="G184" s="15">
        <v>2.2000000000000002</v>
      </c>
      <c r="H184" s="15">
        <v>4</v>
      </c>
      <c r="I184" s="15">
        <v>2.5</v>
      </c>
      <c r="J184" s="16">
        <v>0.98099999999999998</v>
      </c>
      <c r="K184" s="16">
        <v>0.7</v>
      </c>
      <c r="L184" s="16">
        <f t="shared" si="10"/>
        <v>1.681</v>
      </c>
      <c r="M184" s="17" t="s">
        <v>29</v>
      </c>
      <c r="N184" s="18">
        <v>100</v>
      </c>
      <c r="O184" s="18">
        <v>21</v>
      </c>
      <c r="P184" s="15">
        <v>0.17</v>
      </c>
      <c r="Q184" s="1" t="s">
        <v>1</v>
      </c>
      <c r="R184" s="20" t="str">
        <f t="shared" si="11"/>
        <v>horizontal</v>
      </c>
      <c r="S184" s="19">
        <v>-0.17</v>
      </c>
      <c r="T184" s="19">
        <v>0</v>
      </c>
      <c r="U184" s="19">
        <v>0</v>
      </c>
      <c r="V184" s="20">
        <v>0</v>
      </c>
      <c r="W184" s="20">
        <v>-1</v>
      </c>
      <c r="Y184" s="18">
        <v>27</v>
      </c>
      <c r="Z184" s="15">
        <v>59.877533333333332</v>
      </c>
      <c r="AA184" s="16">
        <v>0.19800000000000001</v>
      </c>
      <c r="AB184" s="16">
        <v>0.97899999999999998</v>
      </c>
      <c r="AC184" s="16">
        <f t="shared" si="13"/>
        <v>0.50400000000000011</v>
      </c>
      <c r="AD184" s="21">
        <v>0.49747336179958301</v>
      </c>
      <c r="AE184" s="22" t="str">
        <f t="shared" si="12"/>
        <v>UC Berkeley Lab</v>
      </c>
      <c r="AF184" s="22" t="s">
        <v>48</v>
      </c>
    </row>
    <row r="185" spans="1:32" x14ac:dyDescent="0.2">
      <c r="A185" s="1">
        <v>296</v>
      </c>
      <c r="B185" s="13">
        <v>43669</v>
      </c>
      <c r="C185" s="1" t="s">
        <v>35</v>
      </c>
      <c r="D185" s="1" t="s">
        <v>5</v>
      </c>
      <c r="E185" s="1" t="s">
        <v>25</v>
      </c>
      <c r="F185" s="15">
        <v>2.4</v>
      </c>
      <c r="G185" s="15">
        <v>2.2000000000000002</v>
      </c>
      <c r="H185" s="15">
        <v>4</v>
      </c>
      <c r="I185" s="15">
        <v>2.5</v>
      </c>
      <c r="J185" s="16">
        <v>0.96499999999999997</v>
      </c>
      <c r="K185" s="16">
        <v>0.69499999999999995</v>
      </c>
      <c r="L185" s="16">
        <f t="shared" si="10"/>
        <v>1.66</v>
      </c>
      <c r="M185" s="17" t="s">
        <v>29</v>
      </c>
      <c r="N185" s="18">
        <v>100</v>
      </c>
      <c r="O185" s="18">
        <v>21</v>
      </c>
      <c r="P185" s="15">
        <v>0.17</v>
      </c>
      <c r="Q185" s="1" t="s">
        <v>1</v>
      </c>
      <c r="R185" s="20" t="str">
        <f t="shared" si="11"/>
        <v>horizontal</v>
      </c>
      <c r="S185" s="19">
        <v>-0.17</v>
      </c>
      <c r="T185" s="19">
        <v>0</v>
      </c>
      <c r="U185" s="19">
        <v>0</v>
      </c>
      <c r="V185" s="20">
        <v>0</v>
      </c>
      <c r="W185" s="20">
        <v>-1</v>
      </c>
      <c r="Y185" s="18">
        <v>173</v>
      </c>
      <c r="Z185" s="15">
        <v>59.976833333333332</v>
      </c>
      <c r="AA185" s="16">
        <v>0.19600000000000001</v>
      </c>
      <c r="AB185" s="16">
        <v>0.96499999999999997</v>
      </c>
      <c r="AC185" s="16">
        <f t="shared" si="13"/>
        <v>0.499</v>
      </c>
      <c r="AD185" s="21">
        <v>0.53306876851104001</v>
      </c>
      <c r="AE185" s="22" t="str">
        <f t="shared" si="12"/>
        <v>UC Berkeley Lab</v>
      </c>
      <c r="AF185" s="22" t="s">
        <v>49</v>
      </c>
    </row>
    <row r="186" spans="1:32" x14ac:dyDescent="0.2">
      <c r="A186" s="1">
        <v>298</v>
      </c>
      <c r="B186" s="13">
        <v>43670</v>
      </c>
      <c r="C186" s="1" t="s">
        <v>35</v>
      </c>
      <c r="D186" s="1" t="s">
        <v>9</v>
      </c>
      <c r="E186" s="1" t="s">
        <v>25</v>
      </c>
      <c r="F186" s="15">
        <v>0.64</v>
      </c>
      <c r="G186" s="15">
        <v>0</v>
      </c>
      <c r="H186" s="15">
        <v>4</v>
      </c>
      <c r="I186" s="15">
        <v>0.7</v>
      </c>
      <c r="J186" s="16">
        <v>0.33800000000000002</v>
      </c>
      <c r="K186" s="16">
        <v>1.125</v>
      </c>
      <c r="L186" s="16">
        <f t="shared" si="10"/>
        <v>1.4630000000000001</v>
      </c>
      <c r="M186" s="17" t="s">
        <v>29</v>
      </c>
      <c r="N186" s="18">
        <v>100</v>
      </c>
      <c r="O186" s="18">
        <v>21</v>
      </c>
      <c r="P186" s="15">
        <v>0.17</v>
      </c>
      <c r="Q186" s="1" t="s">
        <v>1</v>
      </c>
      <c r="R186" s="20" t="str">
        <f t="shared" si="11"/>
        <v>horizontal</v>
      </c>
      <c r="S186" s="19">
        <v>-0.17</v>
      </c>
      <c r="T186" s="19">
        <v>0</v>
      </c>
      <c r="U186" s="19">
        <v>0</v>
      </c>
      <c r="V186" s="20">
        <v>0</v>
      </c>
      <c r="W186" s="20">
        <v>-1</v>
      </c>
      <c r="Y186" s="18">
        <v>34</v>
      </c>
      <c r="Z186" s="15">
        <v>60.115233333333343</v>
      </c>
      <c r="AA186" s="16">
        <v>0.29099999999999998</v>
      </c>
      <c r="AB186" s="16">
        <v>0.34100000000000003</v>
      </c>
      <c r="AC186" s="16">
        <f t="shared" si="13"/>
        <v>0.83100000000000018</v>
      </c>
      <c r="AD186" s="21">
        <v>0.37855118626323297</v>
      </c>
      <c r="AE186" s="22" t="str">
        <f t="shared" si="12"/>
        <v>UC Berkeley Lab</v>
      </c>
      <c r="AF186" s="22" t="s">
        <v>48</v>
      </c>
    </row>
    <row r="187" spans="1:32" x14ac:dyDescent="0.2">
      <c r="A187" s="1">
        <v>299</v>
      </c>
      <c r="B187" s="13">
        <v>43670</v>
      </c>
      <c r="C187" s="1" t="s">
        <v>35</v>
      </c>
      <c r="D187" s="1" t="s">
        <v>9</v>
      </c>
      <c r="E187" s="1" t="s">
        <v>25</v>
      </c>
      <c r="F187" s="15">
        <v>0.64</v>
      </c>
      <c r="G187" s="15">
        <v>0</v>
      </c>
      <c r="H187" s="15">
        <v>4</v>
      </c>
      <c r="I187" s="15">
        <v>0.7</v>
      </c>
      <c r="J187" s="16">
        <v>0.33800000000000002</v>
      </c>
      <c r="K187" s="16">
        <v>1.125</v>
      </c>
      <c r="L187" s="16">
        <f t="shared" si="10"/>
        <v>1.4630000000000001</v>
      </c>
      <c r="M187" s="17" t="s">
        <v>29</v>
      </c>
      <c r="N187" s="18">
        <v>100</v>
      </c>
      <c r="O187" s="18">
        <v>21</v>
      </c>
      <c r="P187" s="15">
        <v>0.17</v>
      </c>
      <c r="Q187" s="1" t="s">
        <v>1</v>
      </c>
      <c r="R187" s="20" t="str">
        <f t="shared" si="11"/>
        <v>horizontal</v>
      </c>
      <c r="S187" s="19">
        <v>-0.17</v>
      </c>
      <c r="T187" s="19">
        <v>0</v>
      </c>
      <c r="U187" s="19">
        <v>0</v>
      </c>
      <c r="V187" s="20">
        <v>0</v>
      </c>
      <c r="W187" s="20">
        <v>-1</v>
      </c>
      <c r="Y187" s="18">
        <v>238</v>
      </c>
      <c r="Z187" s="15">
        <v>60.328399999999995</v>
      </c>
      <c r="AA187" s="16">
        <v>0.30399999999999999</v>
      </c>
      <c r="AB187" s="16">
        <v>0.34100000000000003</v>
      </c>
      <c r="AC187" s="16">
        <f t="shared" si="13"/>
        <v>0.81800000000000006</v>
      </c>
      <c r="AD187" s="21">
        <v>0.369897325337535</v>
      </c>
      <c r="AE187" s="22" t="str">
        <f t="shared" si="12"/>
        <v>UC Berkeley Lab</v>
      </c>
      <c r="AF187" s="22" t="s">
        <v>49</v>
      </c>
    </row>
    <row r="188" spans="1:32" x14ac:dyDescent="0.2">
      <c r="A188" s="1">
        <v>300</v>
      </c>
      <c r="B188" s="13">
        <v>43670</v>
      </c>
      <c r="C188" s="1" t="s">
        <v>35</v>
      </c>
      <c r="D188" s="1" t="s">
        <v>4</v>
      </c>
      <c r="E188" s="1" t="s">
        <v>25</v>
      </c>
      <c r="F188" s="15">
        <v>0.64</v>
      </c>
      <c r="G188" s="15">
        <v>0</v>
      </c>
      <c r="H188" s="15">
        <v>4</v>
      </c>
      <c r="I188" s="15">
        <v>0.7</v>
      </c>
      <c r="J188" s="16">
        <v>0.36099999999999999</v>
      </c>
      <c r="K188" s="16">
        <v>1.1319999999999999</v>
      </c>
      <c r="L188" s="16">
        <f t="shared" si="10"/>
        <v>1.4929999999999999</v>
      </c>
      <c r="M188" s="17" t="s">
        <v>29</v>
      </c>
      <c r="N188" s="18">
        <v>100</v>
      </c>
      <c r="O188" s="18">
        <v>21</v>
      </c>
      <c r="P188" s="15">
        <v>0.17</v>
      </c>
      <c r="Q188" s="1" t="s">
        <v>1</v>
      </c>
      <c r="R188" s="20" t="str">
        <f t="shared" si="11"/>
        <v>horizontal</v>
      </c>
      <c r="S188" s="19">
        <v>-0.17</v>
      </c>
      <c r="T188" s="19">
        <v>0</v>
      </c>
      <c r="U188" s="19">
        <v>0</v>
      </c>
      <c r="V188" s="20">
        <v>0</v>
      </c>
      <c r="W188" s="20">
        <v>-1</v>
      </c>
      <c r="Y188" s="18">
        <v>19</v>
      </c>
      <c r="Z188" s="15">
        <v>59.959166666666668</v>
      </c>
      <c r="AA188" s="16">
        <v>0.30299999999999999</v>
      </c>
      <c r="AB188" s="16">
        <v>0.36299999999999999</v>
      </c>
      <c r="AC188" s="16">
        <f t="shared" si="13"/>
        <v>0.82699999999999996</v>
      </c>
      <c r="AD188" s="21">
        <v>0.46963144126121997</v>
      </c>
      <c r="AE188" s="22" t="str">
        <f t="shared" si="12"/>
        <v>UC Berkeley Lab</v>
      </c>
      <c r="AF188" s="22" t="s">
        <v>47</v>
      </c>
    </row>
    <row r="189" spans="1:32" x14ac:dyDescent="0.2">
      <c r="A189" s="1">
        <v>301</v>
      </c>
      <c r="B189" s="13">
        <v>43670</v>
      </c>
      <c r="C189" s="1" t="s">
        <v>35</v>
      </c>
      <c r="D189" s="1" t="s">
        <v>4</v>
      </c>
      <c r="E189" s="1" t="s">
        <v>25</v>
      </c>
      <c r="F189" s="15">
        <v>0.64</v>
      </c>
      <c r="G189" s="15">
        <v>0</v>
      </c>
      <c r="H189" s="15">
        <v>4</v>
      </c>
      <c r="I189" s="15">
        <v>0.7</v>
      </c>
      <c r="J189" s="16">
        <v>0.36299999999999999</v>
      </c>
      <c r="K189" s="16">
        <v>1.131</v>
      </c>
      <c r="L189" s="16">
        <f t="shared" si="10"/>
        <v>1.494</v>
      </c>
      <c r="M189" s="17" t="s">
        <v>29</v>
      </c>
      <c r="N189" s="18">
        <v>100</v>
      </c>
      <c r="O189" s="18">
        <v>21</v>
      </c>
      <c r="P189" s="15">
        <v>0.17</v>
      </c>
      <c r="Q189" s="1" t="s">
        <v>1</v>
      </c>
      <c r="R189" s="20" t="str">
        <f t="shared" si="11"/>
        <v>horizontal</v>
      </c>
      <c r="S189" s="19">
        <v>-0.17</v>
      </c>
      <c r="T189" s="19">
        <v>0</v>
      </c>
      <c r="U189" s="19">
        <v>0</v>
      </c>
      <c r="V189" s="20">
        <v>0</v>
      </c>
      <c r="W189" s="20">
        <v>-1</v>
      </c>
      <c r="Y189" s="18">
        <v>34</v>
      </c>
      <c r="Z189" s="15">
        <v>59.91126666666667</v>
      </c>
      <c r="AA189" s="16">
        <v>0.27400000000000002</v>
      </c>
      <c r="AB189" s="16">
        <v>0.36599999999999999</v>
      </c>
      <c r="AC189" s="16">
        <f t="shared" si="13"/>
        <v>0.85399999999999998</v>
      </c>
      <c r="AD189" s="21">
        <v>0.54149680431923597</v>
      </c>
      <c r="AE189" s="22" t="str">
        <f t="shared" si="12"/>
        <v>UC Berkeley Lab</v>
      </c>
      <c r="AF189" s="22" t="s">
        <v>48</v>
      </c>
    </row>
    <row r="190" spans="1:32" x14ac:dyDescent="0.2">
      <c r="A190" s="1">
        <v>302</v>
      </c>
      <c r="B190" s="13">
        <v>43670</v>
      </c>
      <c r="C190" s="1" t="s">
        <v>35</v>
      </c>
      <c r="D190" s="1" t="s">
        <v>4</v>
      </c>
      <c r="E190" s="1" t="s">
        <v>25</v>
      </c>
      <c r="F190" s="15">
        <v>0.64</v>
      </c>
      <c r="G190" s="15">
        <v>0</v>
      </c>
      <c r="H190" s="15">
        <v>4</v>
      </c>
      <c r="I190" s="15">
        <v>0.7</v>
      </c>
      <c r="J190" s="16">
        <v>0.35799999999999998</v>
      </c>
      <c r="K190" s="16">
        <v>1.127</v>
      </c>
      <c r="L190" s="16">
        <f t="shared" si="10"/>
        <v>1.4849999999999999</v>
      </c>
      <c r="M190" s="17" t="s">
        <v>29</v>
      </c>
      <c r="N190" s="18">
        <v>100</v>
      </c>
      <c r="O190" s="18">
        <v>21</v>
      </c>
      <c r="P190" s="15">
        <v>0.17</v>
      </c>
      <c r="Q190" s="1" t="s">
        <v>1</v>
      </c>
      <c r="R190" s="20" t="str">
        <f t="shared" si="11"/>
        <v>horizontal</v>
      </c>
      <c r="S190" s="19">
        <v>-0.17</v>
      </c>
      <c r="T190" s="19">
        <v>0</v>
      </c>
      <c r="U190" s="19">
        <v>0</v>
      </c>
      <c r="V190" s="20">
        <v>0</v>
      </c>
      <c r="W190" s="20">
        <v>-1</v>
      </c>
      <c r="Y190" s="18">
        <v>199</v>
      </c>
      <c r="Z190" s="15">
        <v>59.973366666666664</v>
      </c>
      <c r="AA190" s="16">
        <v>0.27</v>
      </c>
      <c r="AB190" s="16">
        <v>0.36499999999999999</v>
      </c>
      <c r="AC190" s="16">
        <f t="shared" si="13"/>
        <v>0.84999999999999987</v>
      </c>
      <c r="AD190" s="21">
        <v>0.49730484762550797</v>
      </c>
      <c r="AE190" s="22" t="str">
        <f t="shared" si="12"/>
        <v>UC Berkeley Lab</v>
      </c>
      <c r="AF190" s="22" t="s">
        <v>49</v>
      </c>
    </row>
    <row r="191" spans="1:32" x14ac:dyDescent="0.2">
      <c r="A191" s="1">
        <v>304</v>
      </c>
      <c r="B191" s="13">
        <v>43670</v>
      </c>
      <c r="C191" s="1" t="s">
        <v>35</v>
      </c>
      <c r="D191" s="1" t="s">
        <v>4</v>
      </c>
      <c r="E191" s="1" t="s">
        <v>25</v>
      </c>
      <c r="F191" s="15">
        <v>1.8</v>
      </c>
      <c r="G191" s="15">
        <v>0</v>
      </c>
      <c r="H191" s="15">
        <v>3</v>
      </c>
      <c r="I191" s="15">
        <v>1.8</v>
      </c>
      <c r="J191" s="16">
        <v>2.8069999999999999</v>
      </c>
      <c r="K191" s="16">
        <v>0.41599999999999998</v>
      </c>
      <c r="L191" s="16">
        <f t="shared" si="10"/>
        <v>3.2229999999999999</v>
      </c>
      <c r="M191" s="17" t="s">
        <v>29</v>
      </c>
      <c r="N191" s="18">
        <v>100</v>
      </c>
      <c r="O191" s="18">
        <v>21</v>
      </c>
      <c r="P191" s="15">
        <v>0.17</v>
      </c>
      <c r="Q191" s="1" t="s">
        <v>1</v>
      </c>
      <c r="R191" s="20" t="str">
        <f t="shared" si="11"/>
        <v>horizontal</v>
      </c>
      <c r="S191" s="19">
        <v>-0.17</v>
      </c>
      <c r="T191" s="19">
        <v>0</v>
      </c>
      <c r="U191" s="19">
        <v>0</v>
      </c>
      <c r="V191" s="20">
        <v>0</v>
      </c>
      <c r="W191" s="20">
        <v>-1</v>
      </c>
      <c r="Y191" s="18">
        <v>42</v>
      </c>
      <c r="Z191" s="15">
        <v>59.753433333333334</v>
      </c>
      <c r="AA191" s="16">
        <v>0.17100000000000001</v>
      </c>
      <c r="AB191" s="16">
        <v>2.8490000000000002</v>
      </c>
      <c r="AC191" s="16">
        <f t="shared" si="13"/>
        <v>0.20299999999999985</v>
      </c>
      <c r="AD191" s="21">
        <v>1.03535144385505</v>
      </c>
      <c r="AE191" s="22" t="str">
        <f t="shared" si="12"/>
        <v>UC Berkeley Lab</v>
      </c>
      <c r="AF191" s="22" t="s">
        <v>48</v>
      </c>
    </row>
    <row r="192" spans="1:32" x14ac:dyDescent="0.2">
      <c r="A192" s="1">
        <v>305</v>
      </c>
      <c r="B192" s="13">
        <v>43670</v>
      </c>
      <c r="C192" s="1" t="s">
        <v>35</v>
      </c>
      <c r="D192" s="1" t="s">
        <v>4</v>
      </c>
      <c r="E192" s="1" t="s">
        <v>25</v>
      </c>
      <c r="F192" s="15">
        <v>1.8</v>
      </c>
      <c r="G192" s="15">
        <v>0</v>
      </c>
      <c r="H192" s="15">
        <v>3</v>
      </c>
      <c r="I192" s="15">
        <v>1.8</v>
      </c>
      <c r="J192" s="16">
        <v>2.8090000000000002</v>
      </c>
      <c r="K192" s="16">
        <v>0.41899999999999998</v>
      </c>
      <c r="L192" s="16">
        <f t="shared" si="10"/>
        <v>3.2280000000000002</v>
      </c>
      <c r="M192" s="17" t="s">
        <v>29</v>
      </c>
      <c r="N192" s="18">
        <v>100</v>
      </c>
      <c r="O192" s="18">
        <v>21</v>
      </c>
      <c r="P192" s="15">
        <v>0.17</v>
      </c>
      <c r="Q192" s="1" t="s">
        <v>1</v>
      </c>
      <c r="R192" s="20" t="str">
        <f t="shared" si="11"/>
        <v>horizontal</v>
      </c>
      <c r="S192" s="19">
        <v>-0.17</v>
      </c>
      <c r="T192" s="19">
        <v>0</v>
      </c>
      <c r="U192" s="19">
        <v>0</v>
      </c>
      <c r="V192" s="20">
        <v>0</v>
      </c>
      <c r="W192" s="20">
        <v>-1</v>
      </c>
      <c r="Y192" s="18">
        <v>94</v>
      </c>
      <c r="Z192" s="15">
        <v>60.255366666666667</v>
      </c>
      <c r="AA192" s="16">
        <v>0.19600000000000001</v>
      </c>
      <c r="AB192" s="16">
        <v>2.8079999999999998</v>
      </c>
      <c r="AC192" s="16">
        <f t="shared" si="13"/>
        <v>0.2240000000000002</v>
      </c>
      <c r="AD192" s="21">
        <v>1.2099311354612901</v>
      </c>
      <c r="AE192" s="22" t="str">
        <f t="shared" si="12"/>
        <v>UC Berkeley Lab</v>
      </c>
      <c r="AF192" s="22" t="s">
        <v>49</v>
      </c>
    </row>
    <row r="193" spans="1:32" x14ac:dyDescent="0.2">
      <c r="A193" s="1">
        <v>307</v>
      </c>
      <c r="B193" s="13">
        <v>43670</v>
      </c>
      <c r="C193" s="1" t="s">
        <v>35</v>
      </c>
      <c r="D193" s="1" t="s">
        <v>4</v>
      </c>
      <c r="E193" s="1" t="s">
        <v>25</v>
      </c>
      <c r="F193" s="15">
        <v>2.5</v>
      </c>
      <c r="G193" s="15">
        <v>0</v>
      </c>
      <c r="H193" s="15">
        <v>4</v>
      </c>
      <c r="I193" s="15">
        <v>2.5</v>
      </c>
      <c r="J193" s="16">
        <v>5.4340000000000002</v>
      </c>
      <c r="K193" s="16">
        <v>0.70499999999999996</v>
      </c>
      <c r="L193" s="16">
        <f t="shared" si="10"/>
        <v>6.1390000000000002</v>
      </c>
      <c r="M193" s="17" t="s">
        <v>29</v>
      </c>
      <c r="N193" s="18">
        <v>100</v>
      </c>
      <c r="O193" s="18">
        <v>21</v>
      </c>
      <c r="P193" s="15">
        <v>0.17</v>
      </c>
      <c r="Q193" s="1" t="s">
        <v>1</v>
      </c>
      <c r="R193" s="20" t="str">
        <f t="shared" si="11"/>
        <v>horizontal</v>
      </c>
      <c r="S193" s="19">
        <v>-0.17</v>
      </c>
      <c r="T193" s="19">
        <v>0</v>
      </c>
      <c r="U193" s="19">
        <v>0</v>
      </c>
      <c r="V193" s="20">
        <v>0</v>
      </c>
      <c r="W193" s="20">
        <v>-1</v>
      </c>
      <c r="Y193" s="18">
        <v>53</v>
      </c>
      <c r="Z193" s="15">
        <v>60.049599999999998</v>
      </c>
      <c r="AA193" s="16">
        <v>0.27300000000000002</v>
      </c>
      <c r="AB193" s="16">
        <v>5.4459999999999997</v>
      </c>
      <c r="AC193" s="16">
        <f t="shared" si="13"/>
        <v>0.42000000000000082</v>
      </c>
      <c r="AD193" s="21">
        <v>1.1305014491594401</v>
      </c>
      <c r="AE193" s="22" t="str">
        <f t="shared" si="12"/>
        <v>UC Berkeley Lab</v>
      </c>
      <c r="AF193" s="22" t="s">
        <v>48</v>
      </c>
    </row>
    <row r="194" spans="1:32" x14ac:dyDescent="0.2">
      <c r="A194" s="1">
        <v>308</v>
      </c>
      <c r="B194" s="13">
        <v>43670</v>
      </c>
      <c r="C194" s="1" t="s">
        <v>35</v>
      </c>
      <c r="D194" s="1" t="s">
        <v>4</v>
      </c>
      <c r="E194" s="1" t="s">
        <v>25</v>
      </c>
      <c r="F194" s="15">
        <v>2.5</v>
      </c>
      <c r="G194" s="15">
        <v>0</v>
      </c>
      <c r="H194" s="15">
        <v>4</v>
      </c>
      <c r="I194" s="15">
        <v>2.5</v>
      </c>
      <c r="J194" s="16">
        <v>5.4450000000000003</v>
      </c>
      <c r="K194" s="16">
        <v>0.69899999999999995</v>
      </c>
      <c r="L194" s="16">
        <f t="shared" si="10"/>
        <v>6.1440000000000001</v>
      </c>
      <c r="M194" s="17" t="s">
        <v>29</v>
      </c>
      <c r="N194" s="18">
        <v>100</v>
      </c>
      <c r="O194" s="18">
        <v>21</v>
      </c>
      <c r="P194" s="15">
        <v>0.17</v>
      </c>
      <c r="Q194" s="1" t="s">
        <v>1</v>
      </c>
      <c r="R194" s="20" t="str">
        <f t="shared" si="11"/>
        <v>horizontal</v>
      </c>
      <c r="S194" s="19">
        <v>-0.17</v>
      </c>
      <c r="T194" s="19">
        <v>0</v>
      </c>
      <c r="U194" s="19">
        <v>0</v>
      </c>
      <c r="V194" s="20">
        <v>0</v>
      </c>
      <c r="W194" s="20">
        <v>-1</v>
      </c>
      <c r="Y194" s="18">
        <v>133</v>
      </c>
      <c r="Z194" s="15">
        <v>60.138299999999994</v>
      </c>
      <c r="AA194" s="16">
        <v>0.309</v>
      </c>
      <c r="AB194" s="16">
        <v>5.4459999999999997</v>
      </c>
      <c r="AC194" s="16">
        <f t="shared" si="13"/>
        <v>0.38900000000000023</v>
      </c>
      <c r="AD194" s="21">
        <v>0.913165714697592</v>
      </c>
      <c r="AE194" s="22" t="str">
        <f t="shared" si="12"/>
        <v>UC Berkeley Lab</v>
      </c>
      <c r="AF194" s="22" t="s">
        <v>49</v>
      </c>
    </row>
    <row r="195" spans="1:32" x14ac:dyDescent="0.2">
      <c r="A195" s="1">
        <v>310</v>
      </c>
      <c r="B195" s="13">
        <v>43670</v>
      </c>
      <c r="C195" s="1" t="s">
        <v>35</v>
      </c>
      <c r="D195" s="1" t="s">
        <v>5</v>
      </c>
      <c r="E195" s="1" t="s">
        <v>25</v>
      </c>
      <c r="F195" s="15">
        <v>2.4</v>
      </c>
      <c r="G195" s="15">
        <v>2.2000000000000002</v>
      </c>
      <c r="H195" s="15">
        <v>4</v>
      </c>
      <c r="I195" s="15">
        <v>2.5</v>
      </c>
      <c r="J195" s="16">
        <v>0.96199999999999997</v>
      </c>
      <c r="K195" s="16">
        <v>0.69399999999999995</v>
      </c>
      <c r="L195" s="16">
        <f t="shared" si="10"/>
        <v>1.6559999999999999</v>
      </c>
      <c r="M195" s="17" t="s">
        <v>29</v>
      </c>
      <c r="N195" s="18">
        <v>100</v>
      </c>
      <c r="O195" s="18">
        <v>21</v>
      </c>
      <c r="P195" s="15">
        <v>0.17</v>
      </c>
      <c r="Q195" s="1" t="s">
        <v>1</v>
      </c>
      <c r="R195" s="20" t="str">
        <f t="shared" si="11"/>
        <v>horizontal</v>
      </c>
      <c r="S195" s="19">
        <v>-0.17</v>
      </c>
      <c r="T195" s="19">
        <v>0</v>
      </c>
      <c r="U195" s="19">
        <v>0</v>
      </c>
      <c r="V195" s="20">
        <v>0</v>
      </c>
      <c r="W195" s="20">
        <v>-1</v>
      </c>
      <c r="Y195" s="18">
        <v>30</v>
      </c>
      <c r="Z195" s="15">
        <v>60.115233333333329</v>
      </c>
      <c r="AA195" s="16">
        <v>0.17</v>
      </c>
      <c r="AB195" s="16">
        <v>0.96099999999999997</v>
      </c>
      <c r="AC195" s="16">
        <f t="shared" si="13"/>
        <v>0.52500000000000002</v>
      </c>
      <c r="AD195" s="21">
        <v>0.47451831390291399</v>
      </c>
      <c r="AE195" s="22" t="str">
        <f t="shared" si="12"/>
        <v>UC Berkeley Lab</v>
      </c>
      <c r="AF195" s="22" t="s">
        <v>48</v>
      </c>
    </row>
    <row r="196" spans="1:32" x14ac:dyDescent="0.2">
      <c r="A196" s="1">
        <v>311</v>
      </c>
      <c r="B196" s="13">
        <v>43670</v>
      </c>
      <c r="C196" s="1" t="s">
        <v>35</v>
      </c>
      <c r="D196" s="1" t="s">
        <v>5</v>
      </c>
      <c r="E196" s="1" t="s">
        <v>25</v>
      </c>
      <c r="F196" s="15">
        <v>2.4</v>
      </c>
      <c r="G196" s="15">
        <v>2.2000000000000002</v>
      </c>
      <c r="H196" s="15">
        <v>4</v>
      </c>
      <c r="I196" s="15">
        <v>2.5</v>
      </c>
      <c r="J196" s="16">
        <v>0.97199999999999998</v>
      </c>
      <c r="K196" s="16">
        <v>0.69799999999999995</v>
      </c>
      <c r="L196" s="16">
        <f t="shared" si="10"/>
        <v>1.67</v>
      </c>
      <c r="M196" s="17" t="s">
        <v>29</v>
      </c>
      <c r="N196" s="18">
        <v>100</v>
      </c>
      <c r="O196" s="18">
        <v>21</v>
      </c>
      <c r="P196" s="15">
        <v>0.17</v>
      </c>
      <c r="Q196" s="1" t="s">
        <v>1</v>
      </c>
      <c r="R196" s="20" t="str">
        <f t="shared" ref="R196:R259" si="14">R195</f>
        <v>horizontal</v>
      </c>
      <c r="S196" s="19">
        <v>-0.17</v>
      </c>
      <c r="T196" s="19">
        <v>0</v>
      </c>
      <c r="U196" s="19">
        <v>0</v>
      </c>
      <c r="V196" s="20">
        <v>0</v>
      </c>
      <c r="W196" s="20">
        <v>-1</v>
      </c>
      <c r="Y196" s="18">
        <v>264</v>
      </c>
      <c r="Z196" s="15">
        <v>59.694899999999997</v>
      </c>
      <c r="AA196" s="16">
        <v>0.16500000000000001</v>
      </c>
      <c r="AB196" s="16">
        <v>0.97499999999999998</v>
      </c>
      <c r="AC196" s="16">
        <f t="shared" si="13"/>
        <v>0.52999999999999992</v>
      </c>
      <c r="AD196" s="21">
        <v>0.49765823578469498</v>
      </c>
      <c r="AE196" s="22" t="str">
        <f t="shared" ref="AE196:AE259" si="15">AE195</f>
        <v>UC Berkeley Lab</v>
      </c>
      <c r="AF196" s="22" t="s">
        <v>49</v>
      </c>
    </row>
    <row r="197" spans="1:32" x14ac:dyDescent="0.2">
      <c r="A197" s="1">
        <v>313</v>
      </c>
      <c r="B197" s="13">
        <v>43670</v>
      </c>
      <c r="C197" s="1" t="s">
        <v>35</v>
      </c>
      <c r="D197" s="1" t="s">
        <v>9</v>
      </c>
      <c r="E197" s="1" t="s">
        <v>25</v>
      </c>
      <c r="F197" s="15">
        <v>0.64</v>
      </c>
      <c r="G197" s="15">
        <v>0</v>
      </c>
      <c r="H197" s="15">
        <v>4</v>
      </c>
      <c r="I197" s="15">
        <v>0.7</v>
      </c>
      <c r="J197" s="16">
        <v>0.34</v>
      </c>
      <c r="K197" s="16">
        <v>1.1319999999999999</v>
      </c>
      <c r="L197" s="16">
        <f t="shared" si="10"/>
        <v>1.472</v>
      </c>
      <c r="M197" s="17" t="s">
        <v>29</v>
      </c>
      <c r="N197" s="18">
        <v>100</v>
      </c>
      <c r="O197" s="18">
        <v>21</v>
      </c>
      <c r="P197" s="15">
        <v>0.17</v>
      </c>
      <c r="Q197" s="1" t="s">
        <v>1</v>
      </c>
      <c r="R197" s="20" t="str">
        <f t="shared" si="14"/>
        <v>horizontal</v>
      </c>
      <c r="S197" s="19">
        <v>-0.17</v>
      </c>
      <c r="T197" s="19">
        <v>0</v>
      </c>
      <c r="U197" s="19">
        <v>0</v>
      </c>
      <c r="V197" s="20">
        <v>0</v>
      </c>
      <c r="W197" s="20">
        <v>-1</v>
      </c>
      <c r="Y197" s="18">
        <v>37</v>
      </c>
      <c r="Z197" s="15">
        <v>60.102800000000002</v>
      </c>
      <c r="AA197" s="16">
        <v>0.28399999999999997</v>
      </c>
      <c r="AB197" s="16">
        <v>0.34100000000000003</v>
      </c>
      <c r="AC197" s="16">
        <f t="shared" si="13"/>
        <v>0.84699999999999998</v>
      </c>
      <c r="AD197" s="21">
        <v>0.3395867931248</v>
      </c>
      <c r="AE197" s="22" t="str">
        <f t="shared" si="15"/>
        <v>UC Berkeley Lab</v>
      </c>
      <c r="AF197" s="22" t="s">
        <v>48</v>
      </c>
    </row>
    <row r="198" spans="1:32" x14ac:dyDescent="0.2">
      <c r="A198" s="1">
        <v>314</v>
      </c>
      <c r="B198" s="13">
        <v>43670</v>
      </c>
      <c r="C198" s="1" t="s">
        <v>35</v>
      </c>
      <c r="D198" s="1" t="s">
        <v>9</v>
      </c>
      <c r="E198" s="1" t="s">
        <v>25</v>
      </c>
      <c r="F198" s="15">
        <v>0.64</v>
      </c>
      <c r="G198" s="15">
        <v>0</v>
      </c>
      <c r="H198" s="15">
        <v>4</v>
      </c>
      <c r="I198" s="15">
        <v>0.7</v>
      </c>
      <c r="J198" s="16">
        <v>0.33900000000000002</v>
      </c>
      <c r="K198" s="16">
        <v>1.1279999999999999</v>
      </c>
      <c r="L198" s="16">
        <f t="shared" si="10"/>
        <v>1.4669999999999999</v>
      </c>
      <c r="M198" s="17" t="s">
        <v>29</v>
      </c>
      <c r="N198" s="18">
        <v>100</v>
      </c>
      <c r="O198" s="18">
        <v>21</v>
      </c>
      <c r="P198" s="15">
        <v>0.17</v>
      </c>
      <c r="Q198" s="1" t="s">
        <v>1</v>
      </c>
      <c r="R198" s="20" t="str">
        <f t="shared" si="14"/>
        <v>horizontal</v>
      </c>
      <c r="S198" s="19">
        <v>-0.17</v>
      </c>
      <c r="T198" s="19">
        <v>0</v>
      </c>
      <c r="U198" s="19">
        <v>0</v>
      </c>
      <c r="V198" s="20">
        <v>0</v>
      </c>
      <c r="W198" s="20">
        <v>-1</v>
      </c>
      <c r="Y198" s="18">
        <v>240</v>
      </c>
      <c r="Z198" s="15">
        <v>59.891766666666662</v>
      </c>
      <c r="AA198" s="16">
        <v>0.315</v>
      </c>
      <c r="AB198" s="16">
        <v>0.33700000000000002</v>
      </c>
      <c r="AC198" s="16">
        <f t="shared" si="13"/>
        <v>0.81499999999999995</v>
      </c>
      <c r="AD198" s="21">
        <v>0.33428090551602002</v>
      </c>
      <c r="AE198" s="22" t="str">
        <f t="shared" si="15"/>
        <v>UC Berkeley Lab</v>
      </c>
      <c r="AF198" s="22" t="s">
        <v>49</v>
      </c>
    </row>
    <row r="199" spans="1:32" x14ac:dyDescent="0.2">
      <c r="A199" s="1">
        <v>316</v>
      </c>
      <c r="B199" s="13">
        <v>43670</v>
      </c>
      <c r="C199" s="1" t="s">
        <v>35</v>
      </c>
      <c r="D199" s="1" t="s">
        <v>4</v>
      </c>
      <c r="E199" s="1" t="s">
        <v>25</v>
      </c>
      <c r="F199" s="15">
        <v>0.64</v>
      </c>
      <c r="G199" s="15">
        <v>0</v>
      </c>
      <c r="H199" s="15">
        <v>4</v>
      </c>
      <c r="I199" s="15">
        <v>0.7</v>
      </c>
      <c r="J199" s="16">
        <v>0.36299999999999999</v>
      </c>
      <c r="K199" s="16">
        <v>1.143</v>
      </c>
      <c r="L199" s="16">
        <f t="shared" si="10"/>
        <v>1.506</v>
      </c>
      <c r="M199" s="17" t="s">
        <v>29</v>
      </c>
      <c r="N199" s="18">
        <v>100</v>
      </c>
      <c r="O199" s="18">
        <v>21</v>
      </c>
      <c r="P199" s="15">
        <v>0.17</v>
      </c>
      <c r="Q199" s="1" t="s">
        <v>1</v>
      </c>
      <c r="R199" s="20" t="str">
        <f t="shared" si="14"/>
        <v>horizontal</v>
      </c>
      <c r="S199" s="19">
        <v>-0.17</v>
      </c>
      <c r="T199" s="19">
        <v>0</v>
      </c>
      <c r="U199" s="19">
        <v>0</v>
      </c>
      <c r="V199" s="20">
        <v>0</v>
      </c>
      <c r="W199" s="20">
        <v>-1</v>
      </c>
      <c r="Y199" s="18">
        <v>36</v>
      </c>
      <c r="Z199" s="15">
        <v>60.281966666666669</v>
      </c>
      <c r="AA199" s="16">
        <v>0.31</v>
      </c>
      <c r="AB199" s="16">
        <v>0.36299999999999999</v>
      </c>
      <c r="AC199" s="16">
        <f t="shared" si="13"/>
        <v>0.83299999999999996</v>
      </c>
      <c r="AD199" s="21">
        <v>0.49233874949478301</v>
      </c>
      <c r="AE199" s="22" t="str">
        <f t="shared" si="15"/>
        <v>UC Berkeley Lab</v>
      </c>
      <c r="AF199" s="22" t="s">
        <v>48</v>
      </c>
    </row>
    <row r="200" spans="1:32" x14ac:dyDescent="0.2">
      <c r="A200" s="1">
        <v>317</v>
      </c>
      <c r="B200" s="13">
        <v>43671</v>
      </c>
      <c r="C200" s="1" t="s">
        <v>35</v>
      </c>
      <c r="D200" s="1" t="s">
        <v>4</v>
      </c>
      <c r="E200" s="1" t="s">
        <v>25</v>
      </c>
      <c r="F200" s="15">
        <v>0.64</v>
      </c>
      <c r="G200" s="15">
        <v>0</v>
      </c>
      <c r="H200" s="15">
        <v>4</v>
      </c>
      <c r="I200" s="15">
        <v>0.7</v>
      </c>
      <c r="J200" s="16">
        <v>0.36</v>
      </c>
      <c r="K200" s="16">
        <v>1.1259999999999999</v>
      </c>
      <c r="L200" s="16">
        <f t="shared" si="10"/>
        <v>1.4859999999999998</v>
      </c>
      <c r="M200" s="17" t="s">
        <v>29</v>
      </c>
      <c r="N200" s="18">
        <v>100</v>
      </c>
      <c r="O200" s="18">
        <v>21</v>
      </c>
      <c r="P200" s="15">
        <v>0.17</v>
      </c>
      <c r="Q200" s="1" t="s">
        <v>1</v>
      </c>
      <c r="R200" s="20" t="str">
        <f t="shared" si="14"/>
        <v>horizontal</v>
      </c>
      <c r="S200" s="19">
        <v>-0.17</v>
      </c>
      <c r="T200" s="19">
        <v>0</v>
      </c>
      <c r="U200" s="19">
        <v>0</v>
      </c>
      <c r="V200" s="20">
        <v>0</v>
      </c>
      <c r="W200" s="20">
        <v>-1</v>
      </c>
      <c r="Y200" s="18">
        <v>204</v>
      </c>
      <c r="Z200" s="15">
        <v>60.132966666666668</v>
      </c>
      <c r="AA200" s="16">
        <v>0.28599999999999998</v>
      </c>
      <c r="AB200" s="16">
        <v>0.36699999999999999</v>
      </c>
      <c r="AC200" s="16">
        <f t="shared" si="13"/>
        <v>0.83299999999999974</v>
      </c>
      <c r="AD200" s="21">
        <v>0.440737997323007</v>
      </c>
      <c r="AE200" s="22" t="str">
        <f t="shared" si="15"/>
        <v>UC Berkeley Lab</v>
      </c>
      <c r="AF200" s="22" t="s">
        <v>49</v>
      </c>
    </row>
    <row r="201" spans="1:32" x14ac:dyDescent="0.2">
      <c r="A201" s="1">
        <v>319</v>
      </c>
      <c r="B201" s="13">
        <v>43671</v>
      </c>
      <c r="C201" s="1" t="s">
        <v>35</v>
      </c>
      <c r="D201" s="1" t="s">
        <v>4</v>
      </c>
      <c r="E201" s="1" t="s">
        <v>25</v>
      </c>
      <c r="F201" s="15">
        <v>1.8</v>
      </c>
      <c r="G201" s="15">
        <v>0</v>
      </c>
      <c r="H201" s="15">
        <v>3</v>
      </c>
      <c r="I201" s="15">
        <v>1.8</v>
      </c>
      <c r="J201" s="16">
        <v>2.806</v>
      </c>
      <c r="K201" s="16">
        <v>0.40400000000000003</v>
      </c>
      <c r="L201" s="16">
        <f t="shared" si="10"/>
        <v>3.21</v>
      </c>
      <c r="M201" s="17" t="s">
        <v>29</v>
      </c>
      <c r="N201" s="18">
        <v>100</v>
      </c>
      <c r="O201" s="18">
        <v>21</v>
      </c>
      <c r="P201" s="15">
        <v>0.17</v>
      </c>
      <c r="Q201" s="1" t="s">
        <v>1</v>
      </c>
      <c r="R201" s="20" t="str">
        <f t="shared" si="14"/>
        <v>horizontal</v>
      </c>
      <c r="S201" s="19">
        <v>-0.17</v>
      </c>
      <c r="T201" s="19">
        <v>0</v>
      </c>
      <c r="U201" s="19">
        <v>0</v>
      </c>
      <c r="V201" s="20">
        <v>0</v>
      </c>
      <c r="W201" s="20">
        <v>-1</v>
      </c>
      <c r="Y201" s="18">
        <v>46</v>
      </c>
      <c r="Z201" s="15">
        <v>60.099299999999999</v>
      </c>
      <c r="AA201" s="16">
        <v>0.191</v>
      </c>
      <c r="AB201" s="16">
        <v>2.8839999999999999</v>
      </c>
      <c r="AC201" s="16">
        <f t="shared" si="13"/>
        <v>0.13500000000000023</v>
      </c>
      <c r="AD201" s="21">
        <v>0.63815699010276195</v>
      </c>
      <c r="AE201" s="22" t="str">
        <f t="shared" si="15"/>
        <v>UC Berkeley Lab</v>
      </c>
      <c r="AF201" s="22" t="s">
        <v>48</v>
      </c>
    </row>
    <row r="202" spans="1:32" x14ac:dyDescent="0.2">
      <c r="A202" s="1">
        <v>320</v>
      </c>
      <c r="B202" s="13">
        <v>43671</v>
      </c>
      <c r="C202" s="1" t="s">
        <v>35</v>
      </c>
      <c r="D202" s="1" t="s">
        <v>4</v>
      </c>
      <c r="E202" s="1" t="s">
        <v>25</v>
      </c>
      <c r="F202" s="15">
        <v>1.8</v>
      </c>
      <c r="G202" s="15">
        <v>0</v>
      </c>
      <c r="H202" s="15">
        <v>3</v>
      </c>
      <c r="I202" s="15">
        <v>1.8</v>
      </c>
      <c r="J202" s="16">
        <v>2.8090000000000002</v>
      </c>
      <c r="K202" s="16">
        <v>0.41699999999999998</v>
      </c>
      <c r="L202" s="16">
        <f t="shared" si="10"/>
        <v>3.226</v>
      </c>
      <c r="M202" s="17" t="s">
        <v>29</v>
      </c>
      <c r="N202" s="18">
        <v>100</v>
      </c>
      <c r="O202" s="18">
        <v>21</v>
      </c>
      <c r="P202" s="15">
        <v>0.17</v>
      </c>
      <c r="Q202" s="1" t="s">
        <v>1</v>
      </c>
      <c r="R202" s="20" t="str">
        <f t="shared" si="14"/>
        <v>horizontal</v>
      </c>
      <c r="S202" s="19">
        <v>-0.17</v>
      </c>
      <c r="T202" s="19">
        <v>0</v>
      </c>
      <c r="U202" s="19">
        <v>0</v>
      </c>
      <c r="V202" s="20">
        <v>0</v>
      </c>
      <c r="W202" s="20">
        <v>-1</v>
      </c>
      <c r="Y202" s="18">
        <v>112</v>
      </c>
      <c r="Z202" s="15">
        <v>60.156033333333333</v>
      </c>
      <c r="AA202" s="16">
        <v>0.187</v>
      </c>
      <c r="AB202" s="16">
        <v>2.8090000000000002</v>
      </c>
      <c r="AC202" s="16">
        <f t="shared" si="13"/>
        <v>0.22999999999999998</v>
      </c>
      <c r="AD202" s="21">
        <v>0.98072494286586898</v>
      </c>
      <c r="AE202" s="22" t="str">
        <f t="shared" si="15"/>
        <v>UC Berkeley Lab</v>
      </c>
      <c r="AF202" s="22" t="s">
        <v>49</v>
      </c>
    </row>
    <row r="203" spans="1:32" x14ac:dyDescent="0.2">
      <c r="A203" s="1">
        <v>322</v>
      </c>
      <c r="B203" s="13">
        <v>43671</v>
      </c>
      <c r="C203" s="1" t="s">
        <v>35</v>
      </c>
      <c r="D203" s="1" t="s">
        <v>4</v>
      </c>
      <c r="E203" s="1" t="s">
        <v>25</v>
      </c>
      <c r="F203" s="15">
        <v>2.5</v>
      </c>
      <c r="G203" s="15">
        <v>0</v>
      </c>
      <c r="H203" s="15">
        <v>4</v>
      </c>
      <c r="I203" s="15">
        <v>2.5</v>
      </c>
      <c r="J203" s="16">
        <v>5.4109999999999996</v>
      </c>
      <c r="K203" s="16">
        <v>0.69499999999999995</v>
      </c>
      <c r="L203" s="16">
        <f t="shared" si="10"/>
        <v>6.1059999999999999</v>
      </c>
      <c r="M203" s="17" t="s">
        <v>29</v>
      </c>
      <c r="N203" s="18">
        <v>100</v>
      </c>
      <c r="O203" s="18">
        <v>21</v>
      </c>
      <c r="P203" s="15">
        <v>0.17</v>
      </c>
      <c r="Q203" s="1" t="s">
        <v>1</v>
      </c>
      <c r="R203" s="20" t="str">
        <f t="shared" si="14"/>
        <v>horizontal</v>
      </c>
      <c r="S203" s="19">
        <v>-0.17</v>
      </c>
      <c r="T203" s="19">
        <v>0</v>
      </c>
      <c r="U203" s="19">
        <v>0</v>
      </c>
      <c r="V203" s="20">
        <v>0</v>
      </c>
      <c r="W203" s="20">
        <v>-1</v>
      </c>
      <c r="Y203" s="18">
        <v>57</v>
      </c>
      <c r="Z203" s="15">
        <v>60.0443</v>
      </c>
      <c r="AA203" s="16">
        <v>0.253</v>
      </c>
      <c r="AB203" s="16">
        <v>5.54</v>
      </c>
      <c r="AC203" s="16">
        <f t="shared" si="13"/>
        <v>0.31299999999999972</v>
      </c>
      <c r="AD203" s="21">
        <v>0.70627076045327597</v>
      </c>
      <c r="AE203" s="22" t="str">
        <f t="shared" si="15"/>
        <v>UC Berkeley Lab</v>
      </c>
      <c r="AF203" s="22" t="s">
        <v>48</v>
      </c>
    </row>
    <row r="204" spans="1:32" x14ac:dyDescent="0.2">
      <c r="A204" s="1">
        <v>323</v>
      </c>
      <c r="B204" s="13">
        <v>43671</v>
      </c>
      <c r="C204" s="1" t="s">
        <v>35</v>
      </c>
      <c r="D204" s="1" t="s">
        <v>4</v>
      </c>
      <c r="E204" s="1" t="s">
        <v>25</v>
      </c>
      <c r="F204" s="15">
        <v>2.5</v>
      </c>
      <c r="G204" s="15">
        <v>0</v>
      </c>
      <c r="H204" s="15">
        <v>4</v>
      </c>
      <c r="I204" s="15">
        <v>2.5</v>
      </c>
      <c r="J204" s="16">
        <v>5.4320000000000004</v>
      </c>
      <c r="K204" s="16">
        <v>0.69699999999999995</v>
      </c>
      <c r="L204" s="16">
        <f t="shared" si="10"/>
        <v>6.1290000000000004</v>
      </c>
      <c r="M204" s="17" t="s">
        <v>29</v>
      </c>
      <c r="N204" s="18">
        <v>100</v>
      </c>
      <c r="O204" s="18">
        <v>21</v>
      </c>
      <c r="P204" s="15">
        <v>0.17</v>
      </c>
      <c r="Q204" s="1" t="s">
        <v>1</v>
      </c>
      <c r="R204" s="20" t="str">
        <f t="shared" si="14"/>
        <v>horizontal</v>
      </c>
      <c r="S204" s="19">
        <v>-0.17</v>
      </c>
      <c r="T204" s="19">
        <v>0</v>
      </c>
      <c r="U204" s="19">
        <v>0</v>
      </c>
      <c r="V204" s="20">
        <v>0</v>
      </c>
      <c r="W204" s="20">
        <v>-1</v>
      </c>
      <c r="Y204" s="18">
        <v>120</v>
      </c>
      <c r="Z204" s="15">
        <v>59.964466666666659</v>
      </c>
      <c r="AA204" s="16">
        <v>0.30599999999999999</v>
      </c>
      <c r="AB204" s="16">
        <v>5.4340000000000002</v>
      </c>
      <c r="AC204" s="16">
        <f t="shared" si="13"/>
        <v>0.38900000000000023</v>
      </c>
      <c r="AD204" s="21">
        <v>1.159646871956</v>
      </c>
      <c r="AE204" s="22" t="str">
        <f t="shared" si="15"/>
        <v>UC Berkeley Lab</v>
      </c>
      <c r="AF204" s="22" t="s">
        <v>49</v>
      </c>
    </row>
    <row r="205" spans="1:32" x14ac:dyDescent="0.2">
      <c r="A205" s="1">
        <v>325</v>
      </c>
      <c r="B205" s="13">
        <v>43671</v>
      </c>
      <c r="C205" s="1" t="s">
        <v>35</v>
      </c>
      <c r="D205" s="1" t="s">
        <v>5</v>
      </c>
      <c r="E205" s="1" t="s">
        <v>25</v>
      </c>
      <c r="F205" s="15">
        <v>2.4</v>
      </c>
      <c r="G205" s="15">
        <v>2.2000000000000002</v>
      </c>
      <c r="H205" s="15">
        <v>4</v>
      </c>
      <c r="I205" s="15">
        <v>2.5</v>
      </c>
      <c r="J205" s="16">
        <v>0.96099999999999997</v>
      </c>
      <c r="K205" s="16">
        <v>0.69399999999999995</v>
      </c>
      <c r="L205" s="16">
        <f t="shared" si="10"/>
        <v>1.6549999999999998</v>
      </c>
      <c r="M205" s="17" t="s">
        <v>29</v>
      </c>
      <c r="N205" s="18">
        <v>100</v>
      </c>
      <c r="O205" s="18">
        <v>21</v>
      </c>
      <c r="P205" s="15">
        <v>0.17</v>
      </c>
      <c r="Q205" s="1" t="s">
        <v>1</v>
      </c>
      <c r="R205" s="20" t="str">
        <f t="shared" si="14"/>
        <v>horizontal</v>
      </c>
      <c r="S205" s="19">
        <v>-0.17</v>
      </c>
      <c r="T205" s="19">
        <v>0</v>
      </c>
      <c r="U205" s="19">
        <v>0</v>
      </c>
      <c r="V205" s="20">
        <v>0</v>
      </c>
      <c r="W205" s="20">
        <v>-1</v>
      </c>
      <c r="Y205" s="18">
        <v>29</v>
      </c>
      <c r="Z205" s="15">
        <v>59.982199999999999</v>
      </c>
      <c r="AA205" s="16">
        <v>0.20300000000000001</v>
      </c>
      <c r="AB205" s="16">
        <v>0.69499999999999995</v>
      </c>
      <c r="AC205" s="16">
        <f t="shared" si="13"/>
        <v>0.75699999999999978</v>
      </c>
      <c r="AD205" s="21">
        <v>0.41214873010571301</v>
      </c>
      <c r="AE205" s="22" t="str">
        <f t="shared" si="15"/>
        <v>UC Berkeley Lab</v>
      </c>
      <c r="AF205" s="22" t="s">
        <v>48</v>
      </c>
    </row>
    <row r="206" spans="1:32" x14ac:dyDescent="0.2">
      <c r="A206" s="1">
        <v>326</v>
      </c>
      <c r="B206" s="13">
        <v>43671</v>
      </c>
      <c r="C206" s="1" t="s">
        <v>35</v>
      </c>
      <c r="D206" s="1" t="s">
        <v>5</v>
      </c>
      <c r="E206" s="1" t="s">
        <v>25</v>
      </c>
      <c r="F206" s="15">
        <v>2.4</v>
      </c>
      <c r="G206" s="15">
        <v>2.2000000000000002</v>
      </c>
      <c r="H206" s="15">
        <v>4</v>
      </c>
      <c r="I206" s="15">
        <v>2.5</v>
      </c>
      <c r="J206" s="16">
        <v>0.97899999999999998</v>
      </c>
      <c r="K206" s="16">
        <v>0.96499999999999997</v>
      </c>
      <c r="L206" s="16">
        <f t="shared" si="10"/>
        <v>1.944</v>
      </c>
      <c r="M206" s="17" t="s">
        <v>29</v>
      </c>
      <c r="N206" s="18">
        <v>100</v>
      </c>
      <c r="O206" s="18">
        <v>21</v>
      </c>
      <c r="P206" s="15">
        <v>0.17</v>
      </c>
      <c r="Q206" s="1" t="s">
        <v>1</v>
      </c>
      <c r="R206" s="20" t="str">
        <f t="shared" si="14"/>
        <v>horizontal</v>
      </c>
      <c r="S206" s="19">
        <v>-0.17</v>
      </c>
      <c r="T206" s="19">
        <v>0</v>
      </c>
      <c r="U206" s="19">
        <v>0</v>
      </c>
      <c r="V206" s="20">
        <v>0</v>
      </c>
      <c r="W206" s="20">
        <v>-1</v>
      </c>
      <c r="Y206" s="18">
        <v>180</v>
      </c>
      <c r="Z206" s="15">
        <v>60.152466666666669</v>
      </c>
      <c r="AA206" s="16">
        <v>0.17399999999999999</v>
      </c>
      <c r="AB206" s="16">
        <v>0.98</v>
      </c>
      <c r="AC206" s="16">
        <f t="shared" si="13"/>
        <v>0.79</v>
      </c>
      <c r="AD206" s="21">
        <v>0.43676125308778302</v>
      </c>
      <c r="AE206" s="22" t="str">
        <f t="shared" si="15"/>
        <v>UC Berkeley Lab</v>
      </c>
      <c r="AF206" s="22" t="s">
        <v>49</v>
      </c>
    </row>
    <row r="207" spans="1:32" x14ac:dyDescent="0.2">
      <c r="A207" s="1">
        <v>327</v>
      </c>
      <c r="B207" s="13">
        <v>43671</v>
      </c>
      <c r="C207" s="1" t="s">
        <v>35</v>
      </c>
      <c r="D207" s="1" t="s">
        <v>9</v>
      </c>
      <c r="E207" s="1" t="s">
        <v>25</v>
      </c>
      <c r="F207" s="15">
        <v>0.64</v>
      </c>
      <c r="G207" s="15">
        <v>0</v>
      </c>
      <c r="H207" s="15">
        <v>4</v>
      </c>
      <c r="I207" s="15">
        <v>0.7</v>
      </c>
      <c r="J207" s="16">
        <v>0.33700000000000002</v>
      </c>
      <c r="K207" s="16">
        <v>1.125</v>
      </c>
      <c r="L207" s="16">
        <f t="shared" si="10"/>
        <v>1.462</v>
      </c>
      <c r="M207" s="17" t="s">
        <v>29</v>
      </c>
      <c r="N207" s="18">
        <v>100</v>
      </c>
      <c r="O207" s="18">
        <v>21</v>
      </c>
      <c r="P207" s="15">
        <v>0.17</v>
      </c>
      <c r="Q207" s="1" t="s">
        <v>1</v>
      </c>
      <c r="R207" s="20" t="str">
        <f t="shared" si="14"/>
        <v>horizontal</v>
      </c>
      <c r="S207" s="19">
        <v>-0.17</v>
      </c>
      <c r="T207" s="19">
        <v>0</v>
      </c>
      <c r="U207" s="19">
        <v>0</v>
      </c>
      <c r="V207" s="20">
        <v>0</v>
      </c>
      <c r="W207" s="20">
        <v>-1</v>
      </c>
      <c r="Y207" s="18">
        <v>21</v>
      </c>
      <c r="Z207" s="15">
        <v>59.662966666666669</v>
      </c>
      <c r="AA207" s="16">
        <v>0.27300000000000002</v>
      </c>
      <c r="AB207" s="16">
        <v>0.43099999999999999</v>
      </c>
      <c r="AC207" s="16">
        <f t="shared" si="13"/>
        <v>0.75800000000000001</v>
      </c>
      <c r="AD207" s="21">
        <v>0.36279199653147098</v>
      </c>
      <c r="AE207" s="22" t="str">
        <f t="shared" si="15"/>
        <v>UC Berkeley Lab</v>
      </c>
      <c r="AF207" s="22" t="s">
        <v>47</v>
      </c>
    </row>
    <row r="208" spans="1:32" x14ac:dyDescent="0.2">
      <c r="A208" s="1">
        <v>328</v>
      </c>
      <c r="B208" s="13">
        <v>43671</v>
      </c>
      <c r="C208" s="1" t="s">
        <v>35</v>
      </c>
      <c r="D208" s="1" t="s">
        <v>9</v>
      </c>
      <c r="E208" s="1" t="s">
        <v>25</v>
      </c>
      <c r="F208" s="15">
        <v>0.64</v>
      </c>
      <c r="G208" s="15">
        <v>0</v>
      </c>
      <c r="H208" s="15">
        <v>4</v>
      </c>
      <c r="I208" s="15">
        <v>0.7</v>
      </c>
      <c r="J208" s="16">
        <v>0.33700000000000002</v>
      </c>
      <c r="K208" s="16">
        <v>1.129</v>
      </c>
      <c r="L208" s="16">
        <f t="shared" si="10"/>
        <v>1.466</v>
      </c>
      <c r="M208" s="17" t="s">
        <v>29</v>
      </c>
      <c r="N208" s="18">
        <v>100</v>
      </c>
      <c r="O208" s="18">
        <v>21</v>
      </c>
      <c r="P208" s="15">
        <v>0.17</v>
      </c>
      <c r="Q208" s="1" t="s">
        <v>1</v>
      </c>
      <c r="R208" s="20" t="str">
        <f t="shared" si="14"/>
        <v>horizontal</v>
      </c>
      <c r="S208" s="19">
        <v>-0.17</v>
      </c>
      <c r="T208" s="19">
        <v>0</v>
      </c>
      <c r="U208" s="19">
        <v>0</v>
      </c>
      <c r="V208" s="20">
        <v>0</v>
      </c>
      <c r="W208" s="20">
        <v>-1</v>
      </c>
      <c r="Y208" s="18">
        <v>33</v>
      </c>
      <c r="Z208" s="15">
        <v>60.053200000000004</v>
      </c>
      <c r="AA208" s="16">
        <v>0.28599999999999998</v>
      </c>
      <c r="AB208" s="16">
        <v>0.33900000000000002</v>
      </c>
      <c r="AC208" s="16">
        <f t="shared" si="13"/>
        <v>0.84099999999999997</v>
      </c>
      <c r="AD208" s="21">
        <v>0.36238296670778303</v>
      </c>
      <c r="AE208" s="22" t="str">
        <f t="shared" si="15"/>
        <v>UC Berkeley Lab</v>
      </c>
      <c r="AF208" s="22" t="s">
        <v>48</v>
      </c>
    </row>
    <row r="209" spans="1:32" x14ac:dyDescent="0.2">
      <c r="A209" s="1">
        <v>329</v>
      </c>
      <c r="B209" s="13">
        <v>43671</v>
      </c>
      <c r="C209" s="1" t="s">
        <v>35</v>
      </c>
      <c r="D209" s="1" t="s">
        <v>9</v>
      </c>
      <c r="E209" s="1" t="s">
        <v>25</v>
      </c>
      <c r="F209" s="15">
        <v>0.64</v>
      </c>
      <c r="G209" s="15">
        <v>0</v>
      </c>
      <c r="H209" s="15">
        <v>4</v>
      </c>
      <c r="I209" s="15">
        <v>0.7</v>
      </c>
      <c r="J209" s="16">
        <v>0.33500000000000002</v>
      </c>
      <c r="K209" s="16">
        <v>1.1240000000000001</v>
      </c>
      <c r="L209" s="16">
        <f t="shared" si="10"/>
        <v>1.4590000000000001</v>
      </c>
      <c r="M209" s="17" t="s">
        <v>29</v>
      </c>
      <c r="N209" s="18">
        <v>100</v>
      </c>
      <c r="O209" s="18">
        <v>21</v>
      </c>
      <c r="P209" s="15">
        <v>0.17</v>
      </c>
      <c r="Q209" s="1" t="s">
        <v>1</v>
      </c>
      <c r="R209" s="20" t="str">
        <f t="shared" si="14"/>
        <v>horizontal</v>
      </c>
      <c r="S209" s="19">
        <v>-0.17</v>
      </c>
      <c r="T209" s="19">
        <v>0</v>
      </c>
      <c r="U209" s="19">
        <v>0</v>
      </c>
      <c r="V209" s="20">
        <v>0</v>
      </c>
      <c r="W209" s="20">
        <v>-1</v>
      </c>
      <c r="Y209" s="18">
        <v>240</v>
      </c>
      <c r="Z209" s="15">
        <v>59.776466666666671</v>
      </c>
      <c r="AA209" s="16">
        <v>0.29599999999999999</v>
      </c>
      <c r="AB209" s="16">
        <v>0.33500000000000002</v>
      </c>
      <c r="AC209" s="16">
        <f t="shared" si="13"/>
        <v>0.82800000000000007</v>
      </c>
      <c r="AD209" s="21">
        <v>0.339253661919518</v>
      </c>
      <c r="AE209" s="22" t="str">
        <f t="shared" si="15"/>
        <v>UC Berkeley Lab</v>
      </c>
      <c r="AF209" s="22" t="s">
        <v>49</v>
      </c>
    </row>
    <row r="210" spans="1:32" x14ac:dyDescent="0.2">
      <c r="A210" s="1">
        <v>332</v>
      </c>
      <c r="B210" s="13">
        <v>43696</v>
      </c>
      <c r="C210" s="1" t="s">
        <v>35</v>
      </c>
      <c r="D210" s="1" t="s">
        <v>4</v>
      </c>
      <c r="E210" s="1" t="s">
        <v>25</v>
      </c>
      <c r="F210" s="15">
        <v>0.64</v>
      </c>
      <c r="G210" s="15">
        <v>0</v>
      </c>
      <c r="H210" s="15">
        <v>4</v>
      </c>
      <c r="I210" s="15">
        <v>0.7</v>
      </c>
      <c r="J210" s="16">
        <v>0.3674</v>
      </c>
      <c r="K210" s="16">
        <v>1.1362000000000001</v>
      </c>
      <c r="L210" s="16">
        <f t="shared" si="10"/>
        <v>1.5036</v>
      </c>
      <c r="M210" s="17" t="s">
        <v>29</v>
      </c>
      <c r="N210" s="18">
        <v>100</v>
      </c>
      <c r="O210" s="18">
        <v>21</v>
      </c>
      <c r="P210" s="15">
        <v>0.2</v>
      </c>
      <c r="Q210" s="1" t="s">
        <v>1</v>
      </c>
      <c r="R210" s="20" t="str">
        <f t="shared" si="14"/>
        <v>horizontal</v>
      </c>
      <c r="S210" s="19">
        <v>-0.2</v>
      </c>
      <c r="T210" s="19">
        <v>0</v>
      </c>
      <c r="U210" s="19">
        <v>0</v>
      </c>
      <c r="V210" s="20">
        <v>0</v>
      </c>
      <c r="W210" s="20">
        <v>-1</v>
      </c>
      <c r="Y210" s="18">
        <v>40</v>
      </c>
      <c r="Z210" s="15">
        <v>60.003466666666668</v>
      </c>
      <c r="AA210" s="15">
        <v>0.27900000000000003</v>
      </c>
      <c r="AB210" s="15">
        <v>0.371</v>
      </c>
      <c r="AC210" s="15">
        <f t="shared" si="13"/>
        <v>0.85360000000000014</v>
      </c>
      <c r="AD210" s="21">
        <v>0.48810162816272901</v>
      </c>
      <c r="AE210" s="22" t="str">
        <f t="shared" si="15"/>
        <v>UC Berkeley Lab</v>
      </c>
      <c r="AF210" s="22"/>
    </row>
    <row r="211" spans="1:32" x14ac:dyDescent="0.2">
      <c r="A211" s="1">
        <v>333</v>
      </c>
      <c r="B211" s="13">
        <v>43696</v>
      </c>
      <c r="C211" s="1" t="s">
        <v>35</v>
      </c>
      <c r="D211" s="1" t="s">
        <v>4</v>
      </c>
      <c r="E211" s="1" t="s">
        <v>25</v>
      </c>
      <c r="F211" s="15">
        <v>0.64</v>
      </c>
      <c r="G211" s="15">
        <v>0</v>
      </c>
      <c r="H211" s="15">
        <v>4</v>
      </c>
      <c r="I211" s="15">
        <v>0.7</v>
      </c>
      <c r="J211" s="16">
        <v>0.35580000000000001</v>
      </c>
      <c r="K211" s="16">
        <v>1.1149</v>
      </c>
      <c r="L211" s="16">
        <f t="shared" si="10"/>
        <v>1.4706999999999999</v>
      </c>
      <c r="M211" s="17" t="s">
        <v>29</v>
      </c>
      <c r="N211" s="18">
        <v>100</v>
      </c>
      <c r="O211" s="18">
        <v>21</v>
      </c>
      <c r="P211" s="15">
        <v>0.2</v>
      </c>
      <c r="Q211" s="1" t="s">
        <v>1</v>
      </c>
      <c r="R211" s="20" t="str">
        <f t="shared" si="14"/>
        <v>horizontal</v>
      </c>
      <c r="S211" s="19">
        <v>-0.2</v>
      </c>
      <c r="T211" s="19">
        <v>0</v>
      </c>
      <c r="U211" s="19">
        <v>0</v>
      </c>
      <c r="V211" s="20">
        <v>0</v>
      </c>
      <c r="W211" s="20">
        <v>-1</v>
      </c>
      <c r="Y211" s="18">
        <v>40</v>
      </c>
      <c r="Z211" s="15">
        <v>60.148933333333332</v>
      </c>
      <c r="AA211" s="15">
        <v>0.28199999999999997</v>
      </c>
      <c r="AB211" s="15">
        <v>0.36499999999999999</v>
      </c>
      <c r="AC211" s="15">
        <f t="shared" si="13"/>
        <v>0.82369999999999988</v>
      </c>
      <c r="AD211" s="21">
        <v>0.470737455228806</v>
      </c>
      <c r="AE211" s="22" t="str">
        <f t="shared" si="15"/>
        <v>UC Berkeley Lab</v>
      </c>
      <c r="AF211" s="22"/>
    </row>
    <row r="212" spans="1:32" x14ac:dyDescent="0.2">
      <c r="A212" s="1">
        <v>334</v>
      </c>
      <c r="B212" s="13">
        <v>43696</v>
      </c>
      <c r="C212" s="1" t="s">
        <v>35</v>
      </c>
      <c r="D212" s="1" t="s">
        <v>4</v>
      </c>
      <c r="E212" s="1" t="s">
        <v>25</v>
      </c>
      <c r="F212" s="15">
        <v>0.64</v>
      </c>
      <c r="G212" s="15">
        <v>0</v>
      </c>
      <c r="H212" s="15">
        <v>4</v>
      </c>
      <c r="I212" s="15">
        <v>0.7</v>
      </c>
      <c r="J212" s="16">
        <v>0.37430000000000002</v>
      </c>
      <c r="K212" s="16">
        <v>1.1294</v>
      </c>
      <c r="L212" s="16">
        <f t="shared" si="10"/>
        <v>1.5037</v>
      </c>
      <c r="M212" s="17" t="s">
        <v>29</v>
      </c>
      <c r="N212" s="18">
        <v>100</v>
      </c>
      <c r="O212" s="18">
        <v>21</v>
      </c>
      <c r="P212" s="15">
        <v>0.2</v>
      </c>
      <c r="Q212" s="1" t="s">
        <v>1</v>
      </c>
      <c r="R212" s="20" t="str">
        <f t="shared" si="14"/>
        <v>horizontal</v>
      </c>
      <c r="S212" s="19">
        <v>-0.2</v>
      </c>
      <c r="T212" s="19">
        <v>0</v>
      </c>
      <c r="U212" s="19">
        <v>0</v>
      </c>
      <c r="V212" s="20">
        <v>0</v>
      </c>
      <c r="W212" s="20">
        <v>-1</v>
      </c>
      <c r="Y212" s="18">
        <v>40</v>
      </c>
      <c r="Z212" s="15">
        <v>60.058466666666675</v>
      </c>
      <c r="AA212" s="15">
        <v>0.27900000000000003</v>
      </c>
      <c r="AB212" s="15">
        <v>0.39300000000000002</v>
      </c>
      <c r="AC212" s="15">
        <f t="shared" si="13"/>
        <v>0.83169999999999988</v>
      </c>
      <c r="AD212" s="21">
        <v>0.50680487099705096</v>
      </c>
      <c r="AE212" s="22" t="str">
        <f t="shared" si="15"/>
        <v>UC Berkeley Lab</v>
      </c>
      <c r="AF212" s="22" t="s">
        <v>55</v>
      </c>
    </row>
    <row r="213" spans="1:32" x14ac:dyDescent="0.2">
      <c r="A213" s="1">
        <v>336</v>
      </c>
      <c r="B213" s="13">
        <v>43696</v>
      </c>
      <c r="C213" s="1" t="s">
        <v>35</v>
      </c>
      <c r="D213" s="1" t="s">
        <v>4</v>
      </c>
      <c r="E213" s="1" t="s">
        <v>25</v>
      </c>
      <c r="F213" s="15">
        <v>0.64</v>
      </c>
      <c r="G213" s="15">
        <v>0</v>
      </c>
      <c r="H213" s="15">
        <v>4</v>
      </c>
      <c r="I213" s="15">
        <v>0.7</v>
      </c>
      <c r="J213" s="16">
        <v>0.36570000000000003</v>
      </c>
      <c r="K213" s="16">
        <v>1.1120000000000001</v>
      </c>
      <c r="L213" s="16">
        <f t="shared" si="10"/>
        <v>1.4777</v>
      </c>
      <c r="M213" s="17" t="s">
        <v>29</v>
      </c>
      <c r="N213" s="18">
        <v>100</v>
      </c>
      <c r="O213" s="18">
        <v>21</v>
      </c>
      <c r="P213" s="15">
        <v>0.2</v>
      </c>
      <c r="Q213" s="1" t="s">
        <v>1</v>
      </c>
      <c r="R213" s="20" t="str">
        <f t="shared" si="14"/>
        <v>horizontal</v>
      </c>
      <c r="S213" s="19">
        <v>-0.2</v>
      </c>
      <c r="T213" s="19">
        <v>0</v>
      </c>
      <c r="U213" s="19">
        <v>0</v>
      </c>
      <c r="V213" s="20">
        <v>0</v>
      </c>
      <c r="W213" s="20">
        <v>-1</v>
      </c>
      <c r="Y213" s="18">
        <v>30</v>
      </c>
      <c r="Z213" s="15">
        <v>80.022433333333325</v>
      </c>
      <c r="AA213" s="15">
        <v>0.317</v>
      </c>
      <c r="AB213" s="15">
        <v>0.375</v>
      </c>
      <c r="AC213" s="15">
        <f t="shared" si="13"/>
        <v>0.78570000000000007</v>
      </c>
      <c r="AD213" s="21">
        <v>0.56036073750771398</v>
      </c>
      <c r="AE213" s="22" t="str">
        <f t="shared" si="15"/>
        <v>UC Berkeley Lab</v>
      </c>
      <c r="AF213" s="22"/>
    </row>
    <row r="214" spans="1:32" x14ac:dyDescent="0.2">
      <c r="A214" s="1">
        <v>337</v>
      </c>
      <c r="B214" s="13">
        <v>43697</v>
      </c>
      <c r="C214" s="1" t="s">
        <v>35</v>
      </c>
      <c r="D214" s="1" t="s">
        <v>4</v>
      </c>
      <c r="E214" s="1" t="s">
        <v>25</v>
      </c>
      <c r="F214" s="15">
        <v>0.64</v>
      </c>
      <c r="G214" s="15">
        <v>0</v>
      </c>
      <c r="H214" s="15">
        <v>4</v>
      </c>
      <c r="I214" s="15">
        <v>0.7</v>
      </c>
      <c r="J214" s="16">
        <v>0.3629</v>
      </c>
      <c r="K214" s="16">
        <v>1.1306</v>
      </c>
      <c r="L214" s="16">
        <f t="shared" si="10"/>
        <v>1.4935</v>
      </c>
      <c r="M214" s="17" t="s">
        <v>29</v>
      </c>
      <c r="N214" s="18">
        <v>100</v>
      </c>
      <c r="O214" s="18">
        <v>21</v>
      </c>
      <c r="P214" s="15">
        <v>0.2</v>
      </c>
      <c r="Q214" s="1" t="s">
        <v>1</v>
      </c>
      <c r="R214" s="20" t="str">
        <f t="shared" si="14"/>
        <v>horizontal</v>
      </c>
      <c r="S214" s="19">
        <v>-0.2</v>
      </c>
      <c r="T214" s="19">
        <v>0</v>
      </c>
      <c r="U214" s="19">
        <v>0</v>
      </c>
      <c r="V214" s="20">
        <v>0</v>
      </c>
      <c r="W214" s="20">
        <v>-1</v>
      </c>
      <c r="Y214" s="18">
        <v>30</v>
      </c>
      <c r="Z214" s="15">
        <v>79.951466666666661</v>
      </c>
      <c r="AA214" s="15">
        <v>0.371</v>
      </c>
      <c r="AB214" s="15">
        <v>0.371</v>
      </c>
      <c r="AC214" s="15">
        <f t="shared" si="13"/>
        <v>0.75150000000000006</v>
      </c>
      <c r="AD214" s="21">
        <v>0.54464065472582102</v>
      </c>
      <c r="AE214" s="22" t="str">
        <f t="shared" si="15"/>
        <v>UC Berkeley Lab</v>
      </c>
      <c r="AF214" s="22"/>
    </row>
    <row r="215" spans="1:32" x14ac:dyDescent="0.2">
      <c r="A215" s="1">
        <v>338</v>
      </c>
      <c r="B215" s="13">
        <v>43697</v>
      </c>
      <c r="C215" s="1" t="s">
        <v>35</v>
      </c>
      <c r="D215" s="1" t="s">
        <v>4</v>
      </c>
      <c r="E215" s="1" t="s">
        <v>25</v>
      </c>
      <c r="F215" s="15">
        <v>0.64</v>
      </c>
      <c r="G215" s="15">
        <v>0</v>
      </c>
      <c r="H215" s="15">
        <v>4</v>
      </c>
      <c r="I215" s="15">
        <v>0.7</v>
      </c>
      <c r="J215" s="16">
        <v>0.36099999999999999</v>
      </c>
      <c r="K215" s="16">
        <v>1.1339999999999999</v>
      </c>
      <c r="L215" s="16">
        <f t="shared" si="10"/>
        <v>1.4949999999999999</v>
      </c>
      <c r="M215" s="17" t="s">
        <v>29</v>
      </c>
      <c r="N215" s="18">
        <v>100</v>
      </c>
      <c r="O215" s="18">
        <v>21</v>
      </c>
      <c r="P215" s="15">
        <v>0.2</v>
      </c>
      <c r="Q215" s="1" t="s">
        <v>1</v>
      </c>
      <c r="R215" s="20" t="str">
        <f t="shared" si="14"/>
        <v>horizontal</v>
      </c>
      <c r="S215" s="19">
        <v>-0.2</v>
      </c>
      <c r="T215" s="19">
        <v>0</v>
      </c>
      <c r="U215" s="19">
        <v>0</v>
      </c>
      <c r="V215" s="20">
        <v>0</v>
      </c>
      <c r="W215" s="20">
        <v>-1</v>
      </c>
      <c r="Y215" s="18">
        <v>30</v>
      </c>
      <c r="Z215" s="15">
        <v>80.079133333333331</v>
      </c>
      <c r="AA215" s="15">
        <v>0.34399999999999997</v>
      </c>
      <c r="AB215" s="15">
        <v>0.37</v>
      </c>
      <c r="AC215" s="15">
        <f t="shared" si="13"/>
        <v>0.78099999999999981</v>
      </c>
      <c r="AD215" s="21">
        <v>0.51617360379495103</v>
      </c>
      <c r="AE215" s="22" t="str">
        <f t="shared" si="15"/>
        <v>UC Berkeley Lab</v>
      </c>
      <c r="AF215" s="22"/>
    </row>
    <row r="216" spans="1:32" x14ac:dyDescent="0.2">
      <c r="A216" s="1">
        <v>340</v>
      </c>
      <c r="B216" s="13">
        <v>43697</v>
      </c>
      <c r="C216" s="1" t="s">
        <v>35</v>
      </c>
      <c r="D216" s="1" t="s">
        <v>4</v>
      </c>
      <c r="E216" s="1" t="s">
        <v>25</v>
      </c>
      <c r="F216" s="15">
        <v>0.64</v>
      </c>
      <c r="G216" s="15">
        <v>0</v>
      </c>
      <c r="H216" s="15">
        <v>4</v>
      </c>
      <c r="I216" s="15">
        <v>0.7</v>
      </c>
      <c r="J216" s="16">
        <v>0.36099999999999999</v>
      </c>
      <c r="K216" s="16">
        <v>1.121</v>
      </c>
      <c r="L216" s="16">
        <f t="shared" si="10"/>
        <v>1.482</v>
      </c>
      <c r="M216" s="17" t="s">
        <v>29</v>
      </c>
      <c r="N216" s="18">
        <v>100</v>
      </c>
      <c r="O216" s="18">
        <v>21</v>
      </c>
      <c r="P216" s="15">
        <v>0.2</v>
      </c>
      <c r="Q216" s="1" t="s">
        <v>1</v>
      </c>
      <c r="R216" s="20" t="str">
        <f t="shared" si="14"/>
        <v>horizontal</v>
      </c>
      <c r="S216" s="19">
        <v>-0.2</v>
      </c>
      <c r="T216" s="19">
        <v>0</v>
      </c>
      <c r="U216" s="19">
        <v>0</v>
      </c>
      <c r="V216" s="20">
        <v>0</v>
      </c>
      <c r="W216" s="20">
        <v>-1</v>
      </c>
      <c r="Y216" s="18">
        <v>30</v>
      </c>
      <c r="Z216" s="15">
        <v>100.01113333333335</v>
      </c>
      <c r="AA216" s="15">
        <v>0.34699999999999998</v>
      </c>
      <c r="AB216" s="15">
        <v>0.379</v>
      </c>
      <c r="AC216" s="15">
        <f t="shared" si="13"/>
        <v>0.75600000000000001</v>
      </c>
      <c r="AD216" s="21">
        <v>0.57302607632045599</v>
      </c>
      <c r="AE216" s="22" t="str">
        <f t="shared" si="15"/>
        <v>UC Berkeley Lab</v>
      </c>
      <c r="AF216" s="22"/>
    </row>
    <row r="217" spans="1:32" x14ac:dyDescent="0.2">
      <c r="A217" s="1">
        <v>341</v>
      </c>
      <c r="B217" s="13">
        <v>43697</v>
      </c>
      <c r="C217" s="1" t="s">
        <v>35</v>
      </c>
      <c r="D217" s="1" t="s">
        <v>4</v>
      </c>
      <c r="E217" s="1" t="s">
        <v>25</v>
      </c>
      <c r="F217" s="15">
        <v>0.64</v>
      </c>
      <c r="G217" s="15">
        <v>0</v>
      </c>
      <c r="H217" s="15">
        <v>4</v>
      </c>
      <c r="I217" s="15">
        <v>0.7</v>
      </c>
      <c r="J217" s="16">
        <v>0.36399999999999999</v>
      </c>
      <c r="K217" s="16">
        <v>1.1238999999999999</v>
      </c>
      <c r="L217" s="16">
        <f t="shared" si="10"/>
        <v>1.4878999999999998</v>
      </c>
      <c r="M217" s="17" t="s">
        <v>29</v>
      </c>
      <c r="N217" s="18">
        <v>100</v>
      </c>
      <c r="O217" s="18">
        <v>21</v>
      </c>
      <c r="P217" s="15">
        <v>0.2</v>
      </c>
      <c r="Q217" s="1" t="s">
        <v>1</v>
      </c>
      <c r="R217" s="20" t="str">
        <f t="shared" si="14"/>
        <v>horizontal</v>
      </c>
      <c r="S217" s="19">
        <v>-0.2</v>
      </c>
      <c r="T217" s="19">
        <v>0</v>
      </c>
      <c r="U217" s="19">
        <v>0</v>
      </c>
      <c r="V217" s="20">
        <v>0</v>
      </c>
      <c r="W217" s="20">
        <v>-1</v>
      </c>
      <c r="Y217" s="18">
        <v>30</v>
      </c>
      <c r="Z217" s="15">
        <v>99.85860000000001</v>
      </c>
      <c r="AA217" s="15">
        <v>0.35199999999999998</v>
      </c>
      <c r="AB217" s="15">
        <v>0.378</v>
      </c>
      <c r="AC217" s="15">
        <f t="shared" si="13"/>
        <v>0.75789999999999991</v>
      </c>
      <c r="AD217" s="21">
        <v>0.52651264842053302</v>
      </c>
      <c r="AE217" s="22" t="str">
        <f t="shared" si="15"/>
        <v>UC Berkeley Lab</v>
      </c>
      <c r="AF217" s="22"/>
    </row>
    <row r="218" spans="1:32" x14ac:dyDescent="0.2">
      <c r="A218" s="1">
        <v>342</v>
      </c>
      <c r="B218" s="13">
        <v>43697</v>
      </c>
      <c r="C218" s="1" t="s">
        <v>35</v>
      </c>
      <c r="D218" s="1" t="s">
        <v>4</v>
      </c>
      <c r="E218" s="1" t="s">
        <v>25</v>
      </c>
      <c r="F218" s="15">
        <v>0.64</v>
      </c>
      <c r="G218" s="15">
        <v>0</v>
      </c>
      <c r="H218" s="15">
        <v>4</v>
      </c>
      <c r="I218" s="15">
        <v>0.7</v>
      </c>
      <c r="J218" s="16">
        <v>0.37059999999999998</v>
      </c>
      <c r="K218" s="16">
        <v>1.1324000000000001</v>
      </c>
      <c r="L218" s="16">
        <f t="shared" si="10"/>
        <v>1.5030000000000001</v>
      </c>
      <c r="M218" s="17" t="s">
        <v>29</v>
      </c>
      <c r="N218" s="18">
        <v>100</v>
      </c>
      <c r="O218" s="18">
        <v>21</v>
      </c>
      <c r="P218" s="15">
        <v>0.2</v>
      </c>
      <c r="Q218" s="1" t="s">
        <v>1</v>
      </c>
      <c r="R218" s="20" t="str">
        <f t="shared" si="14"/>
        <v>horizontal</v>
      </c>
      <c r="S218" s="19">
        <v>-0.2</v>
      </c>
      <c r="T218" s="19">
        <v>0</v>
      </c>
      <c r="U218" s="19">
        <v>0</v>
      </c>
      <c r="V218" s="20">
        <v>0</v>
      </c>
      <c r="W218" s="20">
        <v>-1</v>
      </c>
      <c r="Y218" s="18">
        <v>30</v>
      </c>
      <c r="Z218" s="15">
        <v>100.15126666666667</v>
      </c>
      <c r="AA218" s="15">
        <v>0.35299999999999998</v>
      </c>
      <c r="AB218" s="15">
        <v>0.375</v>
      </c>
      <c r="AC218" s="15">
        <f t="shared" si="13"/>
        <v>0.77500000000000013</v>
      </c>
      <c r="AD218" s="21">
        <v>0.55875523018153705</v>
      </c>
      <c r="AE218" s="22" t="str">
        <f t="shared" si="15"/>
        <v>UC Berkeley Lab</v>
      </c>
      <c r="AF218" s="22"/>
    </row>
    <row r="219" spans="1:32" x14ac:dyDescent="0.2">
      <c r="A219" s="1">
        <v>343</v>
      </c>
      <c r="B219" s="13">
        <v>43697</v>
      </c>
      <c r="C219" s="1" t="s">
        <v>35</v>
      </c>
      <c r="D219" s="1" t="s">
        <v>4</v>
      </c>
      <c r="E219" s="1" t="s">
        <v>25</v>
      </c>
      <c r="F219" s="15">
        <v>0.64</v>
      </c>
      <c r="G219" s="15">
        <v>0</v>
      </c>
      <c r="H219" s="15">
        <v>4</v>
      </c>
      <c r="I219" s="15">
        <v>0.7</v>
      </c>
      <c r="J219" s="16">
        <v>0.36520000000000002</v>
      </c>
      <c r="K219" s="16">
        <v>1.1315999999999999</v>
      </c>
      <c r="L219" s="16">
        <f t="shared" si="10"/>
        <v>1.4967999999999999</v>
      </c>
      <c r="M219" s="17" t="s">
        <v>29</v>
      </c>
      <c r="N219" s="18">
        <v>100</v>
      </c>
      <c r="O219" s="18">
        <v>21</v>
      </c>
      <c r="P219" s="15">
        <v>0.2</v>
      </c>
      <c r="Q219" s="1" t="s">
        <v>1</v>
      </c>
      <c r="R219" s="20" t="str">
        <f t="shared" si="14"/>
        <v>horizontal</v>
      </c>
      <c r="S219" s="19">
        <v>-0.2</v>
      </c>
      <c r="T219" s="19">
        <v>0</v>
      </c>
      <c r="U219" s="19">
        <v>0</v>
      </c>
      <c r="V219" s="20">
        <v>0</v>
      </c>
      <c r="W219" s="20">
        <v>-1</v>
      </c>
      <c r="Y219" s="18">
        <v>40</v>
      </c>
      <c r="Z219" s="15">
        <v>39.766433333333332</v>
      </c>
      <c r="AA219" s="15">
        <v>0.25800000000000001</v>
      </c>
      <c r="AB219" s="15">
        <v>0.39100000000000001</v>
      </c>
      <c r="AC219" s="15">
        <f t="shared" si="13"/>
        <v>0.84779999999999989</v>
      </c>
      <c r="AD219" s="21">
        <v>0.40926708244352999</v>
      </c>
      <c r="AE219" s="22" t="str">
        <f t="shared" si="15"/>
        <v>UC Berkeley Lab</v>
      </c>
      <c r="AF219" s="22"/>
    </row>
    <row r="220" spans="1:32" x14ac:dyDescent="0.2">
      <c r="A220" s="1">
        <v>344</v>
      </c>
      <c r="B220" s="13">
        <v>43697</v>
      </c>
      <c r="C220" s="1" t="s">
        <v>35</v>
      </c>
      <c r="D220" s="1" t="s">
        <v>4</v>
      </c>
      <c r="E220" s="1" t="s">
        <v>25</v>
      </c>
      <c r="F220" s="15">
        <v>0.64</v>
      </c>
      <c r="G220" s="15">
        <v>0</v>
      </c>
      <c r="H220" s="15">
        <v>4</v>
      </c>
      <c r="I220" s="15">
        <v>0.7</v>
      </c>
      <c r="J220" s="16">
        <v>0.36559999999999998</v>
      </c>
      <c r="K220" s="16">
        <v>1.1276999999999999</v>
      </c>
      <c r="L220" s="16">
        <f t="shared" si="10"/>
        <v>1.4932999999999998</v>
      </c>
      <c r="M220" s="17" t="s">
        <v>29</v>
      </c>
      <c r="N220" s="18">
        <v>100</v>
      </c>
      <c r="O220" s="18">
        <v>21</v>
      </c>
      <c r="P220" s="15">
        <v>0.2</v>
      </c>
      <c r="Q220" s="1" t="s">
        <v>1</v>
      </c>
      <c r="R220" s="20" t="str">
        <f t="shared" si="14"/>
        <v>horizontal</v>
      </c>
      <c r="S220" s="19">
        <v>-0.2</v>
      </c>
      <c r="T220" s="19">
        <v>0</v>
      </c>
      <c r="U220" s="19">
        <v>0</v>
      </c>
      <c r="V220" s="20">
        <v>0</v>
      </c>
      <c r="W220" s="20">
        <v>-1</v>
      </c>
      <c r="Y220" s="18">
        <v>40</v>
      </c>
      <c r="Z220" s="15">
        <v>40.052</v>
      </c>
      <c r="AA220" s="15">
        <v>0.25600000000000001</v>
      </c>
      <c r="AB220" s="15">
        <v>0.39100000000000001</v>
      </c>
      <c r="AC220" s="15">
        <f t="shared" si="13"/>
        <v>0.84629999999999983</v>
      </c>
      <c r="AD220" s="21">
        <v>0.44158354496184898</v>
      </c>
      <c r="AE220" s="22" t="str">
        <f t="shared" si="15"/>
        <v>UC Berkeley Lab</v>
      </c>
      <c r="AF220" s="22"/>
    </row>
    <row r="221" spans="1:32" x14ac:dyDescent="0.2">
      <c r="A221" s="1">
        <v>345</v>
      </c>
      <c r="B221" s="13">
        <v>43697</v>
      </c>
      <c r="C221" s="1" t="s">
        <v>35</v>
      </c>
      <c r="D221" s="1" t="s">
        <v>4</v>
      </c>
      <c r="E221" s="1" t="s">
        <v>25</v>
      </c>
      <c r="F221" s="15">
        <v>0.64</v>
      </c>
      <c r="G221" s="15">
        <v>0</v>
      </c>
      <c r="H221" s="15">
        <v>4</v>
      </c>
      <c r="I221" s="15">
        <v>0.7</v>
      </c>
      <c r="J221" s="16">
        <v>0.36670000000000003</v>
      </c>
      <c r="K221" s="16">
        <v>1.1258999999999999</v>
      </c>
      <c r="L221" s="16">
        <f t="shared" si="10"/>
        <v>1.4925999999999999</v>
      </c>
      <c r="M221" s="17" t="s">
        <v>29</v>
      </c>
      <c r="N221" s="18">
        <v>100</v>
      </c>
      <c r="O221" s="18">
        <v>21</v>
      </c>
      <c r="P221" s="15">
        <v>0.2</v>
      </c>
      <c r="Q221" s="1" t="s">
        <v>1</v>
      </c>
      <c r="R221" s="20" t="str">
        <f t="shared" si="14"/>
        <v>horizontal</v>
      </c>
      <c r="S221" s="19">
        <v>-0.2</v>
      </c>
      <c r="T221" s="19">
        <v>0</v>
      </c>
      <c r="U221" s="19">
        <v>0</v>
      </c>
      <c r="V221" s="20">
        <v>0</v>
      </c>
      <c r="W221" s="20">
        <v>-1</v>
      </c>
      <c r="Y221" s="18">
        <v>40</v>
      </c>
      <c r="Z221" s="15">
        <v>40.021266666666669</v>
      </c>
      <c r="AA221" s="15">
        <v>0.24199999999999999</v>
      </c>
      <c r="AB221" s="15">
        <v>0.38700000000000001</v>
      </c>
      <c r="AC221" s="15">
        <f t="shared" si="13"/>
        <v>0.86359999999999992</v>
      </c>
      <c r="AD221" s="21">
        <v>0.433279881080603</v>
      </c>
      <c r="AE221" s="22" t="str">
        <f t="shared" si="15"/>
        <v>UC Berkeley Lab</v>
      </c>
      <c r="AF221" s="22"/>
    </row>
    <row r="222" spans="1:32" x14ac:dyDescent="0.2">
      <c r="A222" s="1">
        <v>346</v>
      </c>
      <c r="B222" s="13">
        <v>43697</v>
      </c>
      <c r="C222" s="1" t="s">
        <v>35</v>
      </c>
      <c r="D222" s="1" t="s">
        <v>4</v>
      </c>
      <c r="E222" s="1" t="s">
        <v>25</v>
      </c>
      <c r="F222" s="15">
        <v>0.64</v>
      </c>
      <c r="G222" s="15">
        <v>0</v>
      </c>
      <c r="H222" s="15">
        <v>4</v>
      </c>
      <c r="I222" s="15">
        <v>0.7</v>
      </c>
      <c r="J222" s="16">
        <v>0.36370000000000002</v>
      </c>
      <c r="K222" s="16">
        <v>1.1345000000000001</v>
      </c>
      <c r="L222" s="16">
        <f t="shared" si="10"/>
        <v>1.4982000000000002</v>
      </c>
      <c r="M222" s="17" t="s">
        <v>29</v>
      </c>
      <c r="N222" s="18">
        <v>100</v>
      </c>
      <c r="O222" s="18">
        <v>21</v>
      </c>
      <c r="P222" s="15">
        <v>0.1</v>
      </c>
      <c r="Q222" s="1" t="s">
        <v>1</v>
      </c>
      <c r="R222" s="20" t="str">
        <f t="shared" si="14"/>
        <v>horizontal</v>
      </c>
      <c r="S222" s="19">
        <v>-0.1</v>
      </c>
      <c r="T222" s="19">
        <v>0</v>
      </c>
      <c r="U222" s="19">
        <v>0</v>
      </c>
      <c r="V222" s="20">
        <v>0</v>
      </c>
      <c r="W222" s="20">
        <v>-1</v>
      </c>
      <c r="Y222" s="18">
        <v>30</v>
      </c>
      <c r="Z222" s="15">
        <v>99.861233333333345</v>
      </c>
      <c r="AA222" s="15">
        <v>0.39500000000000002</v>
      </c>
      <c r="AB222" s="15">
        <v>0.39400000000000002</v>
      </c>
      <c r="AC222" s="15">
        <f t="shared" si="13"/>
        <v>0.70920000000000016</v>
      </c>
      <c r="AD222" s="21">
        <v>0.60305016028136504</v>
      </c>
      <c r="AE222" s="22" t="str">
        <f t="shared" si="15"/>
        <v>UC Berkeley Lab</v>
      </c>
      <c r="AF222" s="22" t="s">
        <v>50</v>
      </c>
    </row>
    <row r="223" spans="1:32" x14ac:dyDescent="0.2">
      <c r="A223" s="1">
        <v>347</v>
      </c>
      <c r="B223" s="13">
        <v>43697</v>
      </c>
      <c r="C223" s="1" t="s">
        <v>35</v>
      </c>
      <c r="D223" s="1" t="s">
        <v>4</v>
      </c>
      <c r="E223" s="1" t="s">
        <v>25</v>
      </c>
      <c r="F223" s="15">
        <v>0.64</v>
      </c>
      <c r="G223" s="15">
        <v>0</v>
      </c>
      <c r="H223" s="15">
        <v>4</v>
      </c>
      <c r="I223" s="15">
        <v>0.7</v>
      </c>
      <c r="J223" s="16">
        <v>0.36330000000000001</v>
      </c>
      <c r="K223" s="16">
        <v>1.1222000000000001</v>
      </c>
      <c r="L223" s="16">
        <f t="shared" si="10"/>
        <v>1.4855</v>
      </c>
      <c r="M223" s="17" t="s">
        <v>29</v>
      </c>
      <c r="N223" s="18">
        <v>100</v>
      </c>
      <c r="O223" s="18">
        <v>21</v>
      </c>
      <c r="P223" s="15">
        <v>0.1</v>
      </c>
      <c r="Q223" s="1" t="s">
        <v>1</v>
      </c>
      <c r="R223" s="20" t="str">
        <f t="shared" si="14"/>
        <v>horizontal</v>
      </c>
      <c r="S223" s="19">
        <v>-0.1</v>
      </c>
      <c r="T223" s="19">
        <v>0</v>
      </c>
      <c r="U223" s="19">
        <v>0</v>
      </c>
      <c r="V223" s="20">
        <v>0</v>
      </c>
      <c r="W223" s="20">
        <v>-1</v>
      </c>
      <c r="Y223" s="18">
        <v>30</v>
      </c>
      <c r="Z223" s="15">
        <v>100.16013333333335</v>
      </c>
      <c r="AA223" s="15">
        <v>0.38400000000000001</v>
      </c>
      <c r="AB223" s="15">
        <v>0.36499999999999999</v>
      </c>
      <c r="AC223" s="15">
        <f t="shared" si="13"/>
        <v>0.73650000000000015</v>
      </c>
      <c r="AD223" s="21">
        <v>0.62489925210790997</v>
      </c>
      <c r="AE223" s="22" t="str">
        <f t="shared" si="15"/>
        <v>UC Berkeley Lab</v>
      </c>
      <c r="AF223" s="22"/>
    </row>
    <row r="224" spans="1:32" x14ac:dyDescent="0.2">
      <c r="A224" s="1">
        <v>348</v>
      </c>
      <c r="B224" s="13">
        <v>43697</v>
      </c>
      <c r="C224" s="1" t="s">
        <v>35</v>
      </c>
      <c r="D224" s="1" t="s">
        <v>4</v>
      </c>
      <c r="E224" s="1" t="s">
        <v>25</v>
      </c>
      <c r="F224" s="15">
        <v>0.64</v>
      </c>
      <c r="G224" s="15">
        <v>0</v>
      </c>
      <c r="H224" s="15">
        <v>4</v>
      </c>
      <c r="I224" s="15">
        <v>0.7</v>
      </c>
      <c r="J224" s="16">
        <v>0.36870000000000003</v>
      </c>
      <c r="K224" s="16">
        <v>1.1271</v>
      </c>
      <c r="L224" s="16">
        <f t="shared" si="10"/>
        <v>1.4958</v>
      </c>
      <c r="M224" s="17" t="s">
        <v>29</v>
      </c>
      <c r="N224" s="18">
        <v>100</v>
      </c>
      <c r="O224" s="18">
        <v>21</v>
      </c>
      <c r="P224" s="15">
        <v>0.1</v>
      </c>
      <c r="Q224" s="1" t="s">
        <v>1</v>
      </c>
      <c r="R224" s="20" t="str">
        <f t="shared" si="14"/>
        <v>horizontal</v>
      </c>
      <c r="S224" s="19">
        <v>-0.1</v>
      </c>
      <c r="T224" s="19">
        <v>0</v>
      </c>
      <c r="U224" s="19">
        <v>0</v>
      </c>
      <c r="V224" s="20">
        <v>0</v>
      </c>
      <c r="W224" s="20">
        <v>-1</v>
      </c>
      <c r="Y224" s="18">
        <v>30</v>
      </c>
      <c r="Z224" s="15">
        <v>99.833766666666676</v>
      </c>
      <c r="AA224" s="15">
        <v>0.39300000000000002</v>
      </c>
      <c r="AB224" s="15">
        <v>0.38700000000000001</v>
      </c>
      <c r="AC224" s="15">
        <f t="shared" si="13"/>
        <v>0.71579999999999999</v>
      </c>
      <c r="AD224" s="21">
        <v>0.58995837722776501</v>
      </c>
      <c r="AE224" s="22" t="str">
        <f t="shared" si="15"/>
        <v>UC Berkeley Lab</v>
      </c>
      <c r="AF224" s="22"/>
    </row>
    <row r="225" spans="1:32" x14ac:dyDescent="0.2">
      <c r="A225" s="1">
        <v>349</v>
      </c>
      <c r="B225" s="13">
        <v>43698</v>
      </c>
      <c r="C225" s="1" t="s">
        <v>35</v>
      </c>
      <c r="D225" s="1" t="s">
        <v>4</v>
      </c>
      <c r="E225" s="1" t="s">
        <v>25</v>
      </c>
      <c r="F225" s="15">
        <v>0.64</v>
      </c>
      <c r="G225" s="15">
        <v>0</v>
      </c>
      <c r="H225" s="15">
        <v>4</v>
      </c>
      <c r="I225" s="15">
        <v>0.7</v>
      </c>
      <c r="J225" s="16">
        <v>0.36849999999999999</v>
      </c>
      <c r="K225" s="16">
        <v>1.1268</v>
      </c>
      <c r="L225" s="16">
        <f t="shared" si="10"/>
        <v>1.4953000000000001</v>
      </c>
      <c r="M225" s="17" t="s">
        <v>29</v>
      </c>
      <c r="N225" s="18">
        <v>100</v>
      </c>
      <c r="O225" s="18">
        <v>21</v>
      </c>
      <c r="P225" s="15">
        <v>0.1</v>
      </c>
      <c r="Q225" s="1" t="s">
        <v>1</v>
      </c>
      <c r="R225" s="20" t="str">
        <f t="shared" si="14"/>
        <v>horizontal</v>
      </c>
      <c r="S225" s="19">
        <v>-0.1</v>
      </c>
      <c r="T225" s="19">
        <v>0</v>
      </c>
      <c r="U225" s="19">
        <v>0</v>
      </c>
      <c r="V225" s="20">
        <v>0</v>
      </c>
      <c r="W225" s="20">
        <v>-1</v>
      </c>
      <c r="Y225" s="18">
        <v>30</v>
      </c>
      <c r="Z225" s="15">
        <v>80.125266666666661</v>
      </c>
      <c r="AA225" s="15">
        <v>0.35699999999999998</v>
      </c>
      <c r="AB225" s="15">
        <v>0.39500000000000002</v>
      </c>
      <c r="AC225" s="15">
        <f t="shared" si="13"/>
        <v>0.74330000000000007</v>
      </c>
      <c r="AD225" s="21">
        <v>0.58715385008525001</v>
      </c>
      <c r="AE225" s="22" t="str">
        <f t="shared" si="15"/>
        <v>UC Berkeley Lab</v>
      </c>
      <c r="AF225" s="22"/>
    </row>
    <row r="226" spans="1:32" x14ac:dyDescent="0.2">
      <c r="A226" s="1">
        <v>350</v>
      </c>
      <c r="B226" s="13">
        <v>43698</v>
      </c>
      <c r="C226" s="1" t="s">
        <v>35</v>
      </c>
      <c r="D226" s="1" t="s">
        <v>4</v>
      </c>
      <c r="E226" s="1" t="s">
        <v>25</v>
      </c>
      <c r="F226" s="15">
        <v>0.64</v>
      </c>
      <c r="G226" s="15">
        <v>0</v>
      </c>
      <c r="H226" s="15">
        <v>4</v>
      </c>
      <c r="I226" s="15">
        <v>0.7</v>
      </c>
      <c r="J226" s="16">
        <v>0.36249999999999999</v>
      </c>
      <c r="K226" s="16">
        <v>1.1175999999999999</v>
      </c>
      <c r="L226" s="16">
        <f t="shared" si="10"/>
        <v>1.4801</v>
      </c>
      <c r="M226" s="17" t="s">
        <v>29</v>
      </c>
      <c r="N226" s="18">
        <v>100</v>
      </c>
      <c r="O226" s="18">
        <v>21</v>
      </c>
      <c r="P226" s="15">
        <v>0.1</v>
      </c>
      <c r="Q226" s="1" t="s">
        <v>1</v>
      </c>
      <c r="R226" s="20" t="str">
        <f t="shared" si="14"/>
        <v>horizontal</v>
      </c>
      <c r="S226" s="19">
        <v>-0.1</v>
      </c>
      <c r="T226" s="19">
        <v>0</v>
      </c>
      <c r="U226" s="19">
        <v>0</v>
      </c>
      <c r="V226" s="20">
        <v>0</v>
      </c>
      <c r="W226" s="20">
        <v>-1</v>
      </c>
      <c r="Y226" s="18">
        <v>30</v>
      </c>
      <c r="Z226" s="15">
        <v>79.852689999999996</v>
      </c>
      <c r="AA226" s="15">
        <v>0.32700000000000001</v>
      </c>
      <c r="AB226" s="15">
        <v>0.37</v>
      </c>
      <c r="AC226" s="15">
        <f t="shared" si="13"/>
        <v>0.78310000000000002</v>
      </c>
      <c r="AD226" s="21">
        <v>0.59968447370767897</v>
      </c>
      <c r="AE226" s="22" t="str">
        <f t="shared" si="15"/>
        <v>UC Berkeley Lab</v>
      </c>
      <c r="AF226" s="22"/>
    </row>
    <row r="227" spans="1:32" x14ac:dyDescent="0.2">
      <c r="A227" s="1">
        <v>351</v>
      </c>
      <c r="B227" s="13">
        <v>43698</v>
      </c>
      <c r="C227" s="1" t="s">
        <v>35</v>
      </c>
      <c r="D227" s="1" t="s">
        <v>4</v>
      </c>
      <c r="E227" s="1" t="s">
        <v>25</v>
      </c>
      <c r="F227" s="15">
        <v>0.64</v>
      </c>
      <c r="G227" s="15">
        <v>0</v>
      </c>
      <c r="H227" s="15">
        <v>4</v>
      </c>
      <c r="I227" s="15">
        <v>0.7</v>
      </c>
      <c r="J227" s="16">
        <v>0.3624</v>
      </c>
      <c r="K227" s="16">
        <v>1.1228</v>
      </c>
      <c r="L227" s="16">
        <f t="shared" si="10"/>
        <v>1.4852000000000001</v>
      </c>
      <c r="M227" s="17" t="s">
        <v>29</v>
      </c>
      <c r="N227" s="18">
        <v>100</v>
      </c>
      <c r="O227" s="18">
        <v>21</v>
      </c>
      <c r="P227" s="15">
        <v>0.1</v>
      </c>
      <c r="Q227" s="1" t="s">
        <v>1</v>
      </c>
      <c r="R227" s="20" t="str">
        <f t="shared" si="14"/>
        <v>horizontal</v>
      </c>
      <c r="S227" s="19">
        <v>-0.1</v>
      </c>
      <c r="T227" s="19">
        <v>0</v>
      </c>
      <c r="U227" s="19">
        <v>0</v>
      </c>
      <c r="V227" s="20">
        <v>0</v>
      </c>
      <c r="W227" s="20">
        <v>-1</v>
      </c>
      <c r="Y227" s="18">
        <v>30</v>
      </c>
      <c r="Z227" s="15">
        <v>80.148299999999992</v>
      </c>
      <c r="AA227" s="15">
        <v>0.32400000000000001</v>
      </c>
      <c r="AB227" s="15">
        <v>0.39300000000000002</v>
      </c>
      <c r="AC227" s="15">
        <f t="shared" si="13"/>
        <v>0.76819999999999999</v>
      </c>
      <c r="AD227" s="21">
        <v>0.58223342387365595</v>
      </c>
      <c r="AE227" s="22" t="str">
        <f t="shared" si="15"/>
        <v>UC Berkeley Lab</v>
      </c>
      <c r="AF227" s="22"/>
    </row>
    <row r="228" spans="1:32" x14ac:dyDescent="0.2">
      <c r="A228" s="1">
        <v>352</v>
      </c>
      <c r="B228" s="13">
        <v>43698</v>
      </c>
      <c r="C228" s="1" t="s">
        <v>35</v>
      </c>
      <c r="D228" s="1" t="s">
        <v>4</v>
      </c>
      <c r="E228" s="1" t="s">
        <v>25</v>
      </c>
      <c r="F228" s="15">
        <v>0.64</v>
      </c>
      <c r="G228" s="15">
        <v>0</v>
      </c>
      <c r="H228" s="15">
        <v>4</v>
      </c>
      <c r="I228" s="15">
        <v>0.7</v>
      </c>
      <c r="J228" s="16">
        <v>0.3669</v>
      </c>
      <c r="K228" s="16">
        <v>1.1234</v>
      </c>
      <c r="L228" s="16">
        <f t="shared" si="10"/>
        <v>1.4903</v>
      </c>
      <c r="M228" s="17" t="s">
        <v>29</v>
      </c>
      <c r="N228" s="18">
        <v>100</v>
      </c>
      <c r="O228" s="18">
        <v>21</v>
      </c>
      <c r="P228" s="15">
        <v>0.1</v>
      </c>
      <c r="Q228" s="1" t="s">
        <v>1</v>
      </c>
      <c r="R228" s="20" t="str">
        <f t="shared" si="14"/>
        <v>horizontal</v>
      </c>
      <c r="S228" s="19">
        <v>-0.1</v>
      </c>
      <c r="T228" s="19">
        <v>0</v>
      </c>
      <c r="U228" s="19">
        <v>0</v>
      </c>
      <c r="V228" s="20">
        <v>0</v>
      </c>
      <c r="W228" s="20">
        <v>-1</v>
      </c>
      <c r="Y228" s="18">
        <v>40</v>
      </c>
      <c r="Z228" s="15">
        <v>60.054900000000004</v>
      </c>
      <c r="AA228" s="15">
        <v>0.308</v>
      </c>
      <c r="AB228" s="15">
        <v>0.36799999999999999</v>
      </c>
      <c r="AC228" s="15">
        <f t="shared" si="13"/>
        <v>0.81429999999999991</v>
      </c>
      <c r="AD228" s="21">
        <v>0.524332938478137</v>
      </c>
      <c r="AE228" s="22" t="str">
        <f t="shared" si="15"/>
        <v>UC Berkeley Lab</v>
      </c>
      <c r="AF228" s="22"/>
    </row>
    <row r="229" spans="1:32" x14ac:dyDescent="0.2">
      <c r="A229" s="1">
        <v>353</v>
      </c>
      <c r="B229" s="13">
        <v>43698</v>
      </c>
      <c r="C229" s="1" t="s">
        <v>35</v>
      </c>
      <c r="D229" s="1" t="s">
        <v>4</v>
      </c>
      <c r="E229" s="1" t="s">
        <v>25</v>
      </c>
      <c r="F229" s="15">
        <v>0.64</v>
      </c>
      <c r="G229" s="15">
        <v>0</v>
      </c>
      <c r="H229" s="15">
        <v>4</v>
      </c>
      <c r="I229" s="15">
        <v>0.7</v>
      </c>
      <c r="J229" s="16">
        <v>0.36830000000000002</v>
      </c>
      <c r="K229" s="16">
        <v>1.1238999999999999</v>
      </c>
      <c r="L229" s="16">
        <f t="shared" si="10"/>
        <v>1.4922</v>
      </c>
      <c r="M229" s="17" t="s">
        <v>29</v>
      </c>
      <c r="N229" s="18">
        <v>100</v>
      </c>
      <c r="O229" s="18">
        <v>21</v>
      </c>
      <c r="P229" s="15">
        <v>0.1</v>
      </c>
      <c r="Q229" s="1" t="s">
        <v>1</v>
      </c>
      <c r="R229" s="20" t="str">
        <f t="shared" si="14"/>
        <v>horizontal</v>
      </c>
      <c r="S229" s="19">
        <v>-0.1</v>
      </c>
      <c r="T229" s="19">
        <v>0</v>
      </c>
      <c r="U229" s="19">
        <v>0</v>
      </c>
      <c r="V229" s="20">
        <v>0</v>
      </c>
      <c r="W229" s="20">
        <v>-1</v>
      </c>
      <c r="Y229" s="18">
        <v>40</v>
      </c>
      <c r="Z229" s="15">
        <v>59.826100000000004</v>
      </c>
      <c r="AA229" s="15">
        <v>0.26800000000000002</v>
      </c>
      <c r="AB229" s="15">
        <v>0.39600000000000002</v>
      </c>
      <c r="AC229" s="15">
        <f t="shared" si="13"/>
        <v>0.82819999999999994</v>
      </c>
      <c r="AD229" s="21">
        <v>0.53708837143980803</v>
      </c>
      <c r="AE229" s="22" t="str">
        <f t="shared" si="15"/>
        <v>UC Berkeley Lab</v>
      </c>
      <c r="AF229" s="22"/>
    </row>
    <row r="230" spans="1:32" x14ac:dyDescent="0.2">
      <c r="A230" s="1">
        <v>354</v>
      </c>
      <c r="B230" s="13">
        <v>43698</v>
      </c>
      <c r="C230" s="1" t="s">
        <v>35</v>
      </c>
      <c r="D230" s="1" t="s">
        <v>4</v>
      </c>
      <c r="E230" s="1" t="s">
        <v>25</v>
      </c>
      <c r="F230" s="15">
        <v>0.64</v>
      </c>
      <c r="G230" s="15">
        <v>0</v>
      </c>
      <c r="H230" s="15">
        <v>4</v>
      </c>
      <c r="I230" s="15">
        <v>0.7</v>
      </c>
      <c r="J230" s="16">
        <v>0.372</v>
      </c>
      <c r="K230" s="16">
        <v>1.1235999999999999</v>
      </c>
      <c r="L230" s="16">
        <f t="shared" si="10"/>
        <v>1.4956</v>
      </c>
      <c r="M230" s="17" t="s">
        <v>29</v>
      </c>
      <c r="N230" s="18">
        <v>100</v>
      </c>
      <c r="O230" s="18">
        <v>21</v>
      </c>
      <c r="P230" s="15">
        <v>0.1</v>
      </c>
      <c r="Q230" s="1" t="s">
        <v>1</v>
      </c>
      <c r="R230" s="20" t="str">
        <f t="shared" si="14"/>
        <v>horizontal</v>
      </c>
      <c r="S230" s="19">
        <v>-0.1</v>
      </c>
      <c r="T230" s="19">
        <v>0</v>
      </c>
      <c r="U230" s="19">
        <v>0</v>
      </c>
      <c r="V230" s="20">
        <v>0</v>
      </c>
      <c r="W230" s="20">
        <v>-1</v>
      </c>
      <c r="Y230" s="18">
        <v>40</v>
      </c>
      <c r="Z230" s="15">
        <v>60.026533333333333</v>
      </c>
      <c r="AA230" s="15">
        <v>0.29199999999999998</v>
      </c>
      <c r="AB230" s="15">
        <v>0.39700000000000002</v>
      </c>
      <c r="AC230" s="15">
        <f t="shared" si="13"/>
        <v>0.80659999999999998</v>
      </c>
      <c r="AD230" s="21">
        <v>0.54650905565812002</v>
      </c>
      <c r="AE230" s="22" t="str">
        <f t="shared" si="15"/>
        <v>UC Berkeley Lab</v>
      </c>
      <c r="AF230" s="22"/>
    </row>
    <row r="231" spans="1:32" x14ac:dyDescent="0.2">
      <c r="A231" s="1">
        <v>355</v>
      </c>
      <c r="B231" s="13">
        <v>43698</v>
      </c>
      <c r="C231" s="1" t="s">
        <v>35</v>
      </c>
      <c r="D231" s="1" t="s">
        <v>4</v>
      </c>
      <c r="E231" s="1" t="s">
        <v>25</v>
      </c>
      <c r="F231" s="15">
        <v>0.64</v>
      </c>
      <c r="G231" s="15">
        <v>0</v>
      </c>
      <c r="H231" s="15">
        <v>4</v>
      </c>
      <c r="I231" s="15">
        <v>0.7</v>
      </c>
      <c r="J231" s="16">
        <v>0.37009999999999998</v>
      </c>
      <c r="K231" s="16">
        <v>1.1434</v>
      </c>
      <c r="L231" s="16">
        <f t="shared" si="10"/>
        <v>1.5135000000000001</v>
      </c>
      <c r="M231" s="17" t="s">
        <v>29</v>
      </c>
      <c r="N231" s="18">
        <v>100</v>
      </c>
      <c r="O231" s="18">
        <v>21</v>
      </c>
      <c r="P231" s="15">
        <v>0.1</v>
      </c>
      <c r="Q231" s="1" t="s">
        <v>1</v>
      </c>
      <c r="R231" s="20" t="str">
        <f t="shared" si="14"/>
        <v>horizontal</v>
      </c>
      <c r="S231" s="19">
        <v>-0.1</v>
      </c>
      <c r="T231" s="19">
        <v>0</v>
      </c>
      <c r="U231" s="19">
        <v>0</v>
      </c>
      <c r="V231" s="20">
        <v>0</v>
      </c>
      <c r="W231" s="20">
        <v>-1</v>
      </c>
      <c r="Y231" s="18">
        <v>40</v>
      </c>
      <c r="Z231" s="15">
        <v>39.746933333333338</v>
      </c>
      <c r="AA231" s="15">
        <v>0.253</v>
      </c>
      <c r="AB231" s="15">
        <v>0.39100000000000001</v>
      </c>
      <c r="AC231" s="15">
        <f t="shared" si="13"/>
        <v>0.86949999999999994</v>
      </c>
      <c r="AD231" s="21">
        <v>0.44120584829862303</v>
      </c>
      <c r="AE231" s="22" t="str">
        <f t="shared" si="15"/>
        <v>UC Berkeley Lab</v>
      </c>
      <c r="AF231" s="22"/>
    </row>
    <row r="232" spans="1:32" x14ac:dyDescent="0.2">
      <c r="A232" s="1">
        <v>356</v>
      </c>
      <c r="B232" s="13">
        <v>43698</v>
      </c>
      <c r="C232" s="1" t="s">
        <v>35</v>
      </c>
      <c r="D232" s="1" t="s">
        <v>4</v>
      </c>
      <c r="E232" s="1" t="s">
        <v>25</v>
      </c>
      <c r="F232" s="15">
        <v>0.64</v>
      </c>
      <c r="G232" s="15">
        <v>0</v>
      </c>
      <c r="H232" s="15">
        <v>4</v>
      </c>
      <c r="I232" s="15">
        <v>0.7</v>
      </c>
      <c r="J232" s="16">
        <v>0.36459999999999998</v>
      </c>
      <c r="K232" s="16">
        <v>1.1188</v>
      </c>
      <c r="L232" s="16">
        <f t="shared" si="10"/>
        <v>1.4834000000000001</v>
      </c>
      <c r="M232" s="17" t="s">
        <v>29</v>
      </c>
      <c r="N232" s="18">
        <v>100</v>
      </c>
      <c r="O232" s="18">
        <v>21</v>
      </c>
      <c r="P232" s="15">
        <v>0.1</v>
      </c>
      <c r="Q232" s="1" t="s">
        <v>1</v>
      </c>
      <c r="R232" s="20" t="str">
        <f t="shared" si="14"/>
        <v>horizontal</v>
      </c>
      <c r="S232" s="19">
        <v>-0.1</v>
      </c>
      <c r="T232" s="19">
        <v>0</v>
      </c>
      <c r="U232" s="19">
        <v>0</v>
      </c>
      <c r="V232" s="20">
        <v>0</v>
      </c>
      <c r="W232" s="20">
        <v>-1</v>
      </c>
      <c r="Y232" s="18">
        <v>40</v>
      </c>
      <c r="Z232" s="15">
        <v>40.012966666666664</v>
      </c>
      <c r="AA232" s="15">
        <v>0.25700000000000001</v>
      </c>
      <c r="AB232" s="15">
        <v>0.39300000000000002</v>
      </c>
      <c r="AC232" s="15">
        <f t="shared" si="13"/>
        <v>0.83339999999999992</v>
      </c>
      <c r="AD232" s="21">
        <v>0.49309906155156802</v>
      </c>
      <c r="AE232" s="22" t="str">
        <f t="shared" si="15"/>
        <v>UC Berkeley Lab</v>
      </c>
      <c r="AF232" s="22"/>
    </row>
    <row r="233" spans="1:32" x14ac:dyDescent="0.2">
      <c r="A233" s="1">
        <v>357</v>
      </c>
      <c r="B233" s="13">
        <v>43698</v>
      </c>
      <c r="C233" s="1" t="s">
        <v>35</v>
      </c>
      <c r="D233" s="1" t="s">
        <v>4</v>
      </c>
      <c r="E233" s="1" t="s">
        <v>25</v>
      </c>
      <c r="F233" s="15">
        <v>0.64</v>
      </c>
      <c r="G233" s="15">
        <v>0</v>
      </c>
      <c r="H233" s="15">
        <v>4</v>
      </c>
      <c r="I233" s="15">
        <v>0.7</v>
      </c>
      <c r="J233" s="16">
        <v>0.36609999999999998</v>
      </c>
      <c r="K233" s="16">
        <v>1.1205000000000001</v>
      </c>
      <c r="L233" s="16">
        <f t="shared" si="10"/>
        <v>1.4866000000000001</v>
      </c>
      <c r="M233" s="17" t="s">
        <v>29</v>
      </c>
      <c r="N233" s="18">
        <v>100</v>
      </c>
      <c r="O233" s="18">
        <v>21</v>
      </c>
      <c r="P233" s="15">
        <v>0.1</v>
      </c>
      <c r="Q233" s="1" t="s">
        <v>1</v>
      </c>
      <c r="R233" s="20" t="str">
        <f t="shared" si="14"/>
        <v>horizontal</v>
      </c>
      <c r="S233" s="19">
        <v>-0.1</v>
      </c>
      <c r="T233" s="19">
        <v>0</v>
      </c>
      <c r="U233" s="19">
        <v>0</v>
      </c>
      <c r="V233" s="20">
        <v>0</v>
      </c>
      <c r="W233" s="20">
        <v>-1</v>
      </c>
      <c r="Y233" s="18">
        <v>40</v>
      </c>
      <c r="Z233" s="15">
        <v>40.105233333333331</v>
      </c>
      <c r="AA233" s="15">
        <v>0.254</v>
      </c>
      <c r="AB233" s="15">
        <v>0.39</v>
      </c>
      <c r="AC233" s="15">
        <f t="shared" si="13"/>
        <v>0.84260000000000013</v>
      </c>
      <c r="AD233" s="21">
        <v>0.48606771295846901</v>
      </c>
      <c r="AE233" s="22" t="str">
        <f t="shared" si="15"/>
        <v>UC Berkeley Lab</v>
      </c>
      <c r="AF233" s="22"/>
    </row>
    <row r="234" spans="1:32" x14ac:dyDescent="0.2">
      <c r="A234" s="1">
        <v>365</v>
      </c>
      <c r="B234" s="13">
        <v>43719</v>
      </c>
      <c r="C234" s="1" t="s">
        <v>35</v>
      </c>
      <c r="D234" s="1" t="s">
        <v>4</v>
      </c>
      <c r="E234" s="1" t="s">
        <v>25</v>
      </c>
      <c r="F234" s="15">
        <v>0.64</v>
      </c>
      <c r="G234" s="15">
        <v>0</v>
      </c>
      <c r="H234" s="15">
        <v>4</v>
      </c>
      <c r="I234" s="15">
        <v>0.7</v>
      </c>
      <c r="J234" s="16">
        <v>0.36599999999999999</v>
      </c>
      <c r="K234" s="16">
        <v>1.1200000000000001</v>
      </c>
      <c r="L234" s="16">
        <f t="shared" ref="L234:L288" si="16">SUM(J234:K234)</f>
        <v>1.4860000000000002</v>
      </c>
      <c r="M234" s="17" t="s">
        <v>29</v>
      </c>
      <c r="N234" s="18">
        <v>100</v>
      </c>
      <c r="O234" s="18">
        <v>21</v>
      </c>
      <c r="P234" s="15">
        <v>0.1</v>
      </c>
      <c r="Q234" s="1" t="s">
        <v>1</v>
      </c>
      <c r="R234" s="20" t="str">
        <f t="shared" si="14"/>
        <v>horizontal</v>
      </c>
      <c r="S234" s="19">
        <v>-0.1</v>
      </c>
      <c r="T234" s="19">
        <v>0</v>
      </c>
      <c r="U234" s="19">
        <v>0</v>
      </c>
      <c r="V234" s="20">
        <v>0</v>
      </c>
      <c r="W234" s="20">
        <v>-1</v>
      </c>
      <c r="Y234" s="18">
        <v>30</v>
      </c>
      <c r="Z234" s="15">
        <v>80.112833333333327</v>
      </c>
      <c r="AA234" s="16">
        <v>0.36199999999999999</v>
      </c>
      <c r="AB234" s="16">
        <v>0.39</v>
      </c>
      <c r="AC234" s="16">
        <f t="shared" si="13"/>
        <v>0.7340000000000001</v>
      </c>
      <c r="AD234" s="21">
        <v>0.65993742108255704</v>
      </c>
      <c r="AE234" s="22" t="str">
        <f t="shared" si="15"/>
        <v>UC Berkeley Lab</v>
      </c>
      <c r="AF234" s="22" t="s">
        <v>51</v>
      </c>
    </row>
    <row r="235" spans="1:32" x14ac:dyDescent="0.2">
      <c r="A235" s="1">
        <v>366</v>
      </c>
      <c r="B235" s="13">
        <v>43719</v>
      </c>
      <c r="C235" s="1" t="s">
        <v>35</v>
      </c>
      <c r="D235" s="1" t="s">
        <v>4</v>
      </c>
      <c r="E235" s="1" t="s">
        <v>25</v>
      </c>
      <c r="F235" s="15">
        <v>0.64</v>
      </c>
      <c r="G235" s="15">
        <v>0</v>
      </c>
      <c r="H235" s="15">
        <v>4</v>
      </c>
      <c r="I235" s="15">
        <v>0.7</v>
      </c>
      <c r="J235" s="16">
        <v>0.36399999999999999</v>
      </c>
      <c r="K235" s="16">
        <v>1.127</v>
      </c>
      <c r="L235" s="16">
        <f t="shared" si="16"/>
        <v>1.4910000000000001</v>
      </c>
      <c r="M235" s="17" t="s">
        <v>29</v>
      </c>
      <c r="N235" s="18">
        <v>100</v>
      </c>
      <c r="O235" s="18">
        <v>21</v>
      </c>
      <c r="P235" s="15">
        <v>0.1</v>
      </c>
      <c r="Q235" s="1" t="s">
        <v>1</v>
      </c>
      <c r="R235" s="20" t="str">
        <f t="shared" si="14"/>
        <v>horizontal</v>
      </c>
      <c r="S235" s="19">
        <v>-0.1</v>
      </c>
      <c r="T235" s="19">
        <v>0</v>
      </c>
      <c r="U235" s="19">
        <v>0</v>
      </c>
      <c r="V235" s="20">
        <v>0</v>
      </c>
      <c r="W235" s="20">
        <v>-1</v>
      </c>
      <c r="Y235" s="18">
        <v>30</v>
      </c>
      <c r="Z235" s="15">
        <v>80.244099999999989</v>
      </c>
      <c r="AA235" s="16">
        <v>0.35199999999999998</v>
      </c>
      <c r="AB235" s="16">
        <v>0.39800000000000002</v>
      </c>
      <c r="AC235" s="16">
        <f t="shared" si="13"/>
        <v>0.74100000000000021</v>
      </c>
      <c r="AD235" s="21">
        <v>0.66887158939616198</v>
      </c>
      <c r="AE235" s="22" t="str">
        <f t="shared" si="15"/>
        <v>UC Berkeley Lab</v>
      </c>
      <c r="AF235" s="22" t="s">
        <v>56</v>
      </c>
    </row>
    <row r="236" spans="1:32" x14ac:dyDescent="0.2">
      <c r="A236" s="1">
        <v>367</v>
      </c>
      <c r="B236" s="13">
        <v>43719</v>
      </c>
      <c r="C236" s="1" t="s">
        <v>35</v>
      </c>
      <c r="D236" s="1" t="s">
        <v>4</v>
      </c>
      <c r="E236" s="1" t="s">
        <v>25</v>
      </c>
      <c r="F236" s="15">
        <v>0.64</v>
      </c>
      <c r="G236" s="15">
        <v>0</v>
      </c>
      <c r="H236" s="15">
        <v>4</v>
      </c>
      <c r="I236" s="15">
        <v>0.7</v>
      </c>
      <c r="J236" s="16">
        <v>0.36499999999999999</v>
      </c>
      <c r="K236" s="16">
        <v>1.131</v>
      </c>
      <c r="L236" s="16">
        <f t="shared" si="16"/>
        <v>1.496</v>
      </c>
      <c r="M236" s="17" t="s">
        <v>29</v>
      </c>
      <c r="N236" s="18">
        <v>100</v>
      </c>
      <c r="O236" s="18">
        <v>21</v>
      </c>
      <c r="P236" s="15">
        <v>0.1</v>
      </c>
      <c r="Q236" s="1" t="s">
        <v>1</v>
      </c>
      <c r="R236" s="20" t="str">
        <f t="shared" si="14"/>
        <v>horizontal</v>
      </c>
      <c r="S236" s="19">
        <v>-0.1</v>
      </c>
      <c r="T236" s="19">
        <v>0</v>
      </c>
      <c r="U236" s="19">
        <v>0</v>
      </c>
      <c r="V236" s="20">
        <v>0</v>
      </c>
      <c r="W236" s="20">
        <v>-1</v>
      </c>
      <c r="Y236" s="18">
        <v>30</v>
      </c>
      <c r="Z236" s="15">
        <v>80.139466666666678</v>
      </c>
      <c r="AA236" s="16">
        <v>0.34300000000000003</v>
      </c>
      <c r="AB236" s="16">
        <v>0.39</v>
      </c>
      <c r="AC236" s="16">
        <f t="shared" si="13"/>
        <v>0.76300000000000001</v>
      </c>
      <c r="AD236" s="21">
        <v>0.63679768407636095</v>
      </c>
      <c r="AE236" s="22" t="str">
        <f t="shared" si="15"/>
        <v>UC Berkeley Lab</v>
      </c>
      <c r="AF236" s="22"/>
    </row>
    <row r="237" spans="1:32" x14ac:dyDescent="0.2">
      <c r="A237" s="1">
        <v>368</v>
      </c>
      <c r="B237" s="13">
        <v>43719</v>
      </c>
      <c r="C237" s="1" t="s">
        <v>35</v>
      </c>
      <c r="D237" s="1" t="s">
        <v>4</v>
      </c>
      <c r="E237" s="1" t="s">
        <v>25</v>
      </c>
      <c r="F237" s="15">
        <v>0.64</v>
      </c>
      <c r="G237" s="15">
        <v>0</v>
      </c>
      <c r="H237" s="15">
        <v>4</v>
      </c>
      <c r="I237" s="15">
        <v>0.7</v>
      </c>
      <c r="J237" s="16">
        <v>0.36299999999999999</v>
      </c>
      <c r="K237" s="16">
        <v>1.1339999999999999</v>
      </c>
      <c r="L237" s="16">
        <f t="shared" si="16"/>
        <v>1.4969999999999999</v>
      </c>
      <c r="M237" s="17" t="s">
        <v>29</v>
      </c>
      <c r="N237" s="18">
        <v>100</v>
      </c>
      <c r="O237" s="18">
        <v>21</v>
      </c>
      <c r="P237" s="15">
        <v>0.1</v>
      </c>
      <c r="Q237" s="1" t="s">
        <v>1</v>
      </c>
      <c r="R237" s="20" t="str">
        <f t="shared" si="14"/>
        <v>horizontal</v>
      </c>
      <c r="S237" s="19">
        <v>-0.1</v>
      </c>
      <c r="T237" s="19">
        <v>0</v>
      </c>
      <c r="U237" s="19">
        <v>0</v>
      </c>
      <c r="V237" s="20">
        <v>0</v>
      </c>
      <c r="W237" s="20">
        <v>-1</v>
      </c>
      <c r="Y237" s="18">
        <v>32</v>
      </c>
      <c r="Z237" s="15">
        <v>59.721900000000005</v>
      </c>
      <c r="AA237" s="16">
        <v>0.30299999999999999</v>
      </c>
      <c r="AB237" s="16">
        <v>0.39</v>
      </c>
      <c r="AC237" s="16">
        <f t="shared" ref="AC237:AC300" si="17">L237-AA237-AB237</f>
        <v>0.80399999999999994</v>
      </c>
      <c r="AD237" s="21">
        <v>0.57113161614341601</v>
      </c>
      <c r="AE237" s="22" t="str">
        <f t="shared" si="15"/>
        <v>UC Berkeley Lab</v>
      </c>
      <c r="AF237" s="22"/>
    </row>
    <row r="238" spans="1:32" x14ac:dyDescent="0.2">
      <c r="A238" s="1">
        <v>369</v>
      </c>
      <c r="B238" s="13">
        <v>43719</v>
      </c>
      <c r="C238" s="1" t="s">
        <v>35</v>
      </c>
      <c r="D238" s="1" t="s">
        <v>4</v>
      </c>
      <c r="E238" s="1" t="s">
        <v>25</v>
      </c>
      <c r="F238" s="15">
        <v>0.64</v>
      </c>
      <c r="G238" s="15">
        <v>0</v>
      </c>
      <c r="H238" s="15">
        <v>4</v>
      </c>
      <c r="I238" s="15">
        <v>0.7</v>
      </c>
      <c r="J238" s="16">
        <v>0.36399999999999999</v>
      </c>
      <c r="K238" s="16">
        <v>1.127</v>
      </c>
      <c r="L238" s="16">
        <f t="shared" si="16"/>
        <v>1.4910000000000001</v>
      </c>
      <c r="M238" s="17" t="s">
        <v>29</v>
      </c>
      <c r="N238" s="18">
        <v>100</v>
      </c>
      <c r="O238" s="18">
        <v>21</v>
      </c>
      <c r="P238" s="15">
        <v>0.1</v>
      </c>
      <c r="Q238" s="1" t="s">
        <v>1</v>
      </c>
      <c r="R238" s="20" t="str">
        <f t="shared" si="14"/>
        <v>horizontal</v>
      </c>
      <c r="S238" s="19">
        <v>-0.1</v>
      </c>
      <c r="T238" s="19">
        <v>0</v>
      </c>
      <c r="U238" s="19">
        <v>0</v>
      </c>
      <c r="V238" s="20">
        <v>0</v>
      </c>
      <c r="W238" s="20">
        <v>-1</v>
      </c>
      <c r="Y238" s="18">
        <v>34</v>
      </c>
      <c r="Z238" s="15">
        <v>59.874000000000002</v>
      </c>
      <c r="AA238" s="16">
        <v>0.29499999999999998</v>
      </c>
      <c r="AB238" s="16">
        <v>0.39200000000000002</v>
      </c>
      <c r="AC238" s="16">
        <f t="shared" si="17"/>
        <v>0.80400000000000016</v>
      </c>
      <c r="AD238" s="21">
        <v>0.55668583003525296</v>
      </c>
      <c r="AE238" s="22" t="str">
        <f t="shared" si="15"/>
        <v>UC Berkeley Lab</v>
      </c>
      <c r="AF238" s="22"/>
    </row>
    <row r="239" spans="1:32" x14ac:dyDescent="0.2">
      <c r="A239" s="1">
        <v>370</v>
      </c>
      <c r="B239" s="13">
        <v>43719</v>
      </c>
      <c r="C239" s="1" t="s">
        <v>35</v>
      </c>
      <c r="D239" s="1" t="s">
        <v>4</v>
      </c>
      <c r="E239" s="1" t="s">
        <v>25</v>
      </c>
      <c r="F239" s="15">
        <v>0.64</v>
      </c>
      <c r="G239" s="15">
        <v>0</v>
      </c>
      <c r="H239" s="15">
        <v>4</v>
      </c>
      <c r="I239" s="15">
        <v>0.7</v>
      </c>
      <c r="J239" s="16">
        <v>0.36399999999999999</v>
      </c>
      <c r="K239" s="16">
        <v>1.133</v>
      </c>
      <c r="L239" s="16">
        <f t="shared" si="16"/>
        <v>1.4969999999999999</v>
      </c>
      <c r="M239" s="17" t="s">
        <v>29</v>
      </c>
      <c r="N239" s="18">
        <v>100</v>
      </c>
      <c r="O239" s="18">
        <v>21</v>
      </c>
      <c r="P239" s="15">
        <v>0.1</v>
      </c>
      <c r="Q239" s="1" t="s">
        <v>1</v>
      </c>
      <c r="R239" s="20" t="str">
        <f t="shared" si="14"/>
        <v>horizontal</v>
      </c>
      <c r="S239" s="19">
        <v>-0.1</v>
      </c>
      <c r="T239" s="19">
        <v>0</v>
      </c>
      <c r="U239" s="19">
        <v>0</v>
      </c>
      <c r="V239" s="20">
        <v>0</v>
      </c>
      <c r="W239" s="20">
        <v>-1</v>
      </c>
      <c r="Y239" s="18">
        <v>32</v>
      </c>
      <c r="Z239" s="15">
        <v>60.056699999999999</v>
      </c>
      <c r="AA239" s="16">
        <v>0.32400000000000001</v>
      </c>
      <c r="AB239" s="16">
        <v>0.39</v>
      </c>
      <c r="AC239" s="16">
        <f t="shared" si="17"/>
        <v>0.78299999999999981</v>
      </c>
      <c r="AD239" s="21">
        <v>0.55870010466094899</v>
      </c>
      <c r="AE239" s="22" t="str">
        <f t="shared" si="15"/>
        <v>UC Berkeley Lab</v>
      </c>
      <c r="AF239" s="22"/>
    </row>
    <row r="240" spans="1:32" x14ac:dyDescent="0.2">
      <c r="A240" s="1">
        <v>371</v>
      </c>
      <c r="B240" s="13">
        <v>43719</v>
      </c>
      <c r="C240" s="1" t="s">
        <v>35</v>
      </c>
      <c r="D240" s="1" t="s">
        <v>4</v>
      </c>
      <c r="E240" s="1" t="s">
        <v>25</v>
      </c>
      <c r="F240" s="15">
        <v>0.64</v>
      </c>
      <c r="G240" s="15">
        <v>0</v>
      </c>
      <c r="H240" s="15">
        <v>4</v>
      </c>
      <c r="I240" s="15">
        <v>0.7</v>
      </c>
      <c r="J240" s="16">
        <v>0.36199999999999999</v>
      </c>
      <c r="K240" s="16">
        <v>1.129</v>
      </c>
      <c r="L240" s="16">
        <f t="shared" si="16"/>
        <v>1.4910000000000001</v>
      </c>
      <c r="M240" s="17" t="s">
        <v>29</v>
      </c>
      <c r="N240" s="18">
        <v>100</v>
      </c>
      <c r="O240" s="18">
        <v>21</v>
      </c>
      <c r="P240" s="15">
        <v>0.1</v>
      </c>
      <c r="Q240" s="1" t="s">
        <v>1</v>
      </c>
      <c r="R240" s="20" t="str">
        <f t="shared" si="14"/>
        <v>horizontal</v>
      </c>
      <c r="S240" s="19">
        <v>-0.1</v>
      </c>
      <c r="T240" s="19">
        <v>0</v>
      </c>
      <c r="U240" s="19">
        <v>0</v>
      </c>
      <c r="V240" s="20">
        <v>0</v>
      </c>
      <c r="W240" s="20">
        <v>-1</v>
      </c>
      <c r="Y240" s="18">
        <v>32</v>
      </c>
      <c r="Z240" s="15">
        <v>100.18673333333334</v>
      </c>
      <c r="AA240" s="16">
        <v>0.372</v>
      </c>
      <c r="AB240" s="16">
        <v>0.38800000000000001</v>
      </c>
      <c r="AC240" s="16">
        <f t="shared" si="17"/>
        <v>0.73100000000000021</v>
      </c>
      <c r="AD240" s="21">
        <v>0.64319256545439996</v>
      </c>
      <c r="AE240" s="22" t="str">
        <f t="shared" si="15"/>
        <v>UC Berkeley Lab</v>
      </c>
      <c r="AF240" s="22"/>
    </row>
    <row r="241" spans="1:32" x14ac:dyDescent="0.2">
      <c r="A241" s="1">
        <v>372</v>
      </c>
      <c r="B241" s="13">
        <v>43719</v>
      </c>
      <c r="C241" s="1" t="s">
        <v>35</v>
      </c>
      <c r="D241" s="1" t="s">
        <v>4</v>
      </c>
      <c r="E241" s="1" t="s">
        <v>25</v>
      </c>
      <c r="F241" s="15">
        <v>0.64</v>
      </c>
      <c r="G241" s="15">
        <v>0</v>
      </c>
      <c r="H241" s="15">
        <v>4</v>
      </c>
      <c r="I241" s="15">
        <v>0.7</v>
      </c>
      <c r="J241" s="16">
        <v>0.36099999999999999</v>
      </c>
      <c r="K241" s="16">
        <v>1.129</v>
      </c>
      <c r="L241" s="16">
        <f t="shared" si="16"/>
        <v>1.49</v>
      </c>
      <c r="M241" s="17" t="s">
        <v>29</v>
      </c>
      <c r="N241" s="18">
        <v>100</v>
      </c>
      <c r="O241" s="18">
        <v>21</v>
      </c>
      <c r="P241" s="15">
        <v>0.1</v>
      </c>
      <c r="Q241" s="1" t="s">
        <v>1</v>
      </c>
      <c r="R241" s="20" t="str">
        <f t="shared" si="14"/>
        <v>horizontal</v>
      </c>
      <c r="S241" s="19">
        <v>-0.1</v>
      </c>
      <c r="T241" s="19">
        <v>0</v>
      </c>
      <c r="U241" s="19">
        <v>0</v>
      </c>
      <c r="V241" s="20">
        <v>0</v>
      </c>
      <c r="W241" s="20">
        <v>-1</v>
      </c>
      <c r="Y241" s="18">
        <v>30</v>
      </c>
      <c r="Z241" s="15">
        <v>100.18673333333334</v>
      </c>
      <c r="AA241" s="16">
        <v>0.39500000000000002</v>
      </c>
      <c r="AB241" s="16">
        <v>0.38700000000000001</v>
      </c>
      <c r="AC241" s="16">
        <f t="shared" si="17"/>
        <v>0.70799999999999996</v>
      </c>
      <c r="AD241" s="21">
        <v>0.63210564078813503</v>
      </c>
      <c r="AE241" s="22" t="str">
        <f t="shared" si="15"/>
        <v>UC Berkeley Lab</v>
      </c>
      <c r="AF241" s="22"/>
    </row>
    <row r="242" spans="1:32" x14ac:dyDescent="0.2">
      <c r="A242" s="1">
        <v>375</v>
      </c>
      <c r="B242" s="13">
        <v>43719</v>
      </c>
      <c r="C242" s="1" t="s">
        <v>35</v>
      </c>
      <c r="D242" s="1" t="s">
        <v>4</v>
      </c>
      <c r="E242" s="1" t="s">
        <v>25</v>
      </c>
      <c r="F242" s="15">
        <v>0.64</v>
      </c>
      <c r="G242" s="15">
        <v>0</v>
      </c>
      <c r="H242" s="15">
        <v>4</v>
      </c>
      <c r="I242" s="15">
        <v>0.7</v>
      </c>
      <c r="J242" s="16">
        <v>0.36699999999999999</v>
      </c>
      <c r="K242" s="16">
        <v>1.1359999999999999</v>
      </c>
      <c r="L242" s="16">
        <f t="shared" si="16"/>
        <v>1.5029999999999999</v>
      </c>
      <c r="M242" s="17" t="s">
        <v>29</v>
      </c>
      <c r="N242" s="18">
        <v>100</v>
      </c>
      <c r="O242" s="18">
        <v>21</v>
      </c>
      <c r="P242" s="15">
        <v>0.1</v>
      </c>
      <c r="Q242" s="1" t="s">
        <v>2</v>
      </c>
      <c r="R242" s="20" t="str">
        <f t="shared" si="14"/>
        <v>horizontal</v>
      </c>
      <c r="S242" s="19">
        <v>0.1</v>
      </c>
      <c r="T242" s="19">
        <v>0</v>
      </c>
      <c r="U242" s="19">
        <v>0</v>
      </c>
      <c r="V242" s="20">
        <v>0</v>
      </c>
      <c r="W242" s="20">
        <v>-1</v>
      </c>
      <c r="Y242" s="18">
        <v>30</v>
      </c>
      <c r="Z242" s="15">
        <v>100.38183333333335</v>
      </c>
      <c r="AA242" s="16">
        <v>0.40300000000000002</v>
      </c>
      <c r="AB242" s="16">
        <v>0.38500000000000001</v>
      </c>
      <c r="AC242" s="16">
        <f t="shared" si="17"/>
        <v>0.71499999999999986</v>
      </c>
      <c r="AD242" s="21">
        <v>0.92619166294159505</v>
      </c>
      <c r="AE242" s="22" t="str">
        <f t="shared" si="15"/>
        <v>UC Berkeley Lab</v>
      </c>
      <c r="AF242" s="22"/>
    </row>
    <row r="243" spans="1:32" x14ac:dyDescent="0.2">
      <c r="A243" s="1">
        <v>376</v>
      </c>
      <c r="B243" s="13">
        <v>43719</v>
      </c>
      <c r="C243" s="1" t="s">
        <v>35</v>
      </c>
      <c r="D243" s="1" t="s">
        <v>4</v>
      </c>
      <c r="E243" s="1" t="s">
        <v>25</v>
      </c>
      <c r="F243" s="15">
        <v>0.64</v>
      </c>
      <c r="G243" s="15">
        <v>0</v>
      </c>
      <c r="H243" s="15">
        <v>4</v>
      </c>
      <c r="I243" s="15">
        <v>0.7</v>
      </c>
      <c r="J243" s="16">
        <v>0.36499999999999999</v>
      </c>
      <c r="K243" s="16">
        <v>1.125</v>
      </c>
      <c r="L243" s="16">
        <f t="shared" si="16"/>
        <v>1.49</v>
      </c>
      <c r="M243" s="17" t="s">
        <v>29</v>
      </c>
      <c r="N243" s="18">
        <v>100</v>
      </c>
      <c r="O243" s="18">
        <v>21</v>
      </c>
      <c r="P243" s="15">
        <v>0.1</v>
      </c>
      <c r="Q243" s="1" t="s">
        <v>2</v>
      </c>
      <c r="R243" s="20" t="str">
        <f t="shared" si="14"/>
        <v>horizontal</v>
      </c>
      <c r="S243" s="19">
        <v>0.1</v>
      </c>
      <c r="T243" s="19">
        <v>0</v>
      </c>
      <c r="U243" s="19">
        <v>0</v>
      </c>
      <c r="V243" s="20">
        <v>0</v>
      </c>
      <c r="W243" s="20">
        <v>-1</v>
      </c>
      <c r="Y243" s="18">
        <v>30</v>
      </c>
      <c r="Z243" s="15">
        <v>100.25233333333334</v>
      </c>
      <c r="AA243" s="16">
        <v>0.42499999999999999</v>
      </c>
      <c r="AB243" s="16">
        <v>0.38900000000000001</v>
      </c>
      <c r="AC243" s="16">
        <f t="shared" si="17"/>
        <v>0.67599999999999993</v>
      </c>
      <c r="AD243" s="21">
        <v>0.900063258998544</v>
      </c>
      <c r="AE243" s="22" t="str">
        <f t="shared" si="15"/>
        <v>UC Berkeley Lab</v>
      </c>
      <c r="AF243" s="22"/>
    </row>
    <row r="244" spans="1:32" x14ac:dyDescent="0.2">
      <c r="A244" s="1">
        <v>377</v>
      </c>
      <c r="B244" s="13">
        <v>43720</v>
      </c>
      <c r="C244" s="1" t="s">
        <v>35</v>
      </c>
      <c r="D244" s="1" t="s">
        <v>4</v>
      </c>
      <c r="E244" s="1" t="s">
        <v>25</v>
      </c>
      <c r="F244" s="15">
        <v>0.64</v>
      </c>
      <c r="G244" s="15">
        <v>0</v>
      </c>
      <c r="H244" s="15">
        <v>4</v>
      </c>
      <c r="I244" s="15">
        <v>0.7</v>
      </c>
      <c r="J244" s="16">
        <v>0.36099999999999999</v>
      </c>
      <c r="K244" s="16">
        <v>1.127</v>
      </c>
      <c r="L244" s="16">
        <f t="shared" si="16"/>
        <v>1.488</v>
      </c>
      <c r="M244" s="17" t="s">
        <v>29</v>
      </c>
      <c r="N244" s="18">
        <v>100</v>
      </c>
      <c r="O244" s="18">
        <v>21</v>
      </c>
      <c r="P244" s="15">
        <v>0.1</v>
      </c>
      <c r="Q244" s="1" t="s">
        <v>2</v>
      </c>
      <c r="R244" s="20" t="str">
        <f t="shared" si="14"/>
        <v>horizontal</v>
      </c>
      <c r="S244" s="19">
        <v>0.1</v>
      </c>
      <c r="T244" s="19">
        <v>0</v>
      </c>
      <c r="U244" s="19">
        <v>0</v>
      </c>
      <c r="V244" s="20">
        <v>0</v>
      </c>
      <c r="W244" s="20">
        <v>-1</v>
      </c>
      <c r="Y244" s="18">
        <v>30</v>
      </c>
      <c r="Z244" s="15">
        <v>100.45453333333334</v>
      </c>
      <c r="AA244" s="16">
        <v>0.40200000000000002</v>
      </c>
      <c r="AB244" s="16">
        <v>0.38300000000000001</v>
      </c>
      <c r="AC244" s="16">
        <f t="shared" si="17"/>
        <v>0.70299999999999985</v>
      </c>
      <c r="AD244" s="21">
        <v>0.90612599262452398</v>
      </c>
      <c r="AE244" s="22" t="str">
        <f t="shared" si="15"/>
        <v>UC Berkeley Lab</v>
      </c>
      <c r="AF244" s="22"/>
    </row>
    <row r="245" spans="1:32" x14ac:dyDescent="0.2">
      <c r="A245" s="1">
        <v>378</v>
      </c>
      <c r="B245" s="13">
        <v>43720</v>
      </c>
      <c r="C245" s="1" t="s">
        <v>35</v>
      </c>
      <c r="D245" s="1" t="s">
        <v>4</v>
      </c>
      <c r="E245" s="1" t="s">
        <v>25</v>
      </c>
      <c r="F245" s="15">
        <v>0.64</v>
      </c>
      <c r="G245" s="15">
        <v>0</v>
      </c>
      <c r="H245" s="15">
        <v>4</v>
      </c>
      <c r="I245" s="15">
        <v>0.7</v>
      </c>
      <c r="J245" s="16">
        <v>0.36499999999999999</v>
      </c>
      <c r="K245" s="16">
        <v>1.121</v>
      </c>
      <c r="L245" s="16">
        <f t="shared" si="16"/>
        <v>1.486</v>
      </c>
      <c r="M245" s="17" t="s">
        <v>29</v>
      </c>
      <c r="N245" s="18">
        <v>100</v>
      </c>
      <c r="O245" s="18">
        <v>21</v>
      </c>
      <c r="P245" s="15">
        <v>0.1</v>
      </c>
      <c r="Q245" s="1" t="s">
        <v>2</v>
      </c>
      <c r="R245" s="20" t="str">
        <f t="shared" si="14"/>
        <v>horizontal</v>
      </c>
      <c r="S245" s="19">
        <v>0.1</v>
      </c>
      <c r="T245" s="19">
        <v>0</v>
      </c>
      <c r="U245" s="19">
        <v>0</v>
      </c>
      <c r="V245" s="20">
        <v>0</v>
      </c>
      <c r="W245" s="20">
        <v>-1</v>
      </c>
      <c r="Y245" s="18">
        <v>30</v>
      </c>
      <c r="Z245" s="15">
        <v>80.281333333333336</v>
      </c>
      <c r="AA245" s="16">
        <v>0.35299999999999998</v>
      </c>
      <c r="AB245" s="16">
        <v>0.38900000000000001</v>
      </c>
      <c r="AC245" s="16">
        <f t="shared" si="17"/>
        <v>0.74399999999999999</v>
      </c>
      <c r="AD245" s="21">
        <v>0.898386668975517</v>
      </c>
      <c r="AE245" s="22" t="str">
        <f t="shared" si="15"/>
        <v>UC Berkeley Lab</v>
      </c>
      <c r="AF245" s="22"/>
    </row>
    <row r="246" spans="1:32" x14ac:dyDescent="0.2">
      <c r="A246" s="1">
        <v>379</v>
      </c>
      <c r="B246" s="13">
        <v>43720</v>
      </c>
      <c r="C246" s="1" t="s">
        <v>35</v>
      </c>
      <c r="D246" s="1" t="s">
        <v>4</v>
      </c>
      <c r="E246" s="1" t="s">
        <v>25</v>
      </c>
      <c r="F246" s="15">
        <v>0.64</v>
      </c>
      <c r="G246" s="15">
        <v>0</v>
      </c>
      <c r="H246" s="15">
        <v>4</v>
      </c>
      <c r="I246" s="15">
        <v>0.7</v>
      </c>
      <c r="J246" s="16">
        <v>0.36199999999999999</v>
      </c>
      <c r="K246" s="16">
        <v>1.1319999999999999</v>
      </c>
      <c r="L246" s="16">
        <f t="shared" si="16"/>
        <v>1.4939999999999998</v>
      </c>
      <c r="M246" s="17" t="s">
        <v>29</v>
      </c>
      <c r="N246" s="18">
        <v>100</v>
      </c>
      <c r="O246" s="18">
        <v>21</v>
      </c>
      <c r="P246" s="15">
        <v>0.1</v>
      </c>
      <c r="Q246" s="1" t="s">
        <v>2</v>
      </c>
      <c r="R246" s="20" t="str">
        <f t="shared" si="14"/>
        <v>horizontal</v>
      </c>
      <c r="S246" s="19">
        <v>0.1</v>
      </c>
      <c r="T246" s="19">
        <v>0</v>
      </c>
      <c r="U246" s="19">
        <v>0</v>
      </c>
      <c r="V246" s="20">
        <v>0</v>
      </c>
      <c r="W246" s="20">
        <v>-1</v>
      </c>
      <c r="Y246" s="18">
        <v>30</v>
      </c>
      <c r="Z246" s="15">
        <v>80.066733333333332</v>
      </c>
      <c r="AA246" s="16">
        <v>0.36799999999999999</v>
      </c>
      <c r="AB246" s="16">
        <v>0.38500000000000001</v>
      </c>
      <c r="AC246" s="16">
        <f t="shared" si="17"/>
        <v>0.74099999999999988</v>
      </c>
      <c r="AD246" s="21">
        <v>0.89530760235548301</v>
      </c>
      <c r="AE246" s="22" t="str">
        <f t="shared" si="15"/>
        <v>UC Berkeley Lab</v>
      </c>
      <c r="AF246" s="22"/>
    </row>
    <row r="247" spans="1:32" x14ac:dyDescent="0.2">
      <c r="A247" s="1">
        <v>380</v>
      </c>
      <c r="B247" s="13">
        <v>43720</v>
      </c>
      <c r="C247" s="1" t="s">
        <v>35</v>
      </c>
      <c r="D247" s="1" t="s">
        <v>4</v>
      </c>
      <c r="E247" s="1" t="s">
        <v>25</v>
      </c>
      <c r="F247" s="15">
        <v>0.64</v>
      </c>
      <c r="G247" s="15">
        <v>0</v>
      </c>
      <c r="H247" s="15">
        <v>4</v>
      </c>
      <c r="I247" s="15">
        <v>0.7</v>
      </c>
      <c r="J247" s="16">
        <v>0.37</v>
      </c>
      <c r="K247" s="16">
        <v>1.125</v>
      </c>
      <c r="L247" s="16">
        <f t="shared" si="16"/>
        <v>1.4950000000000001</v>
      </c>
      <c r="M247" s="17" t="s">
        <v>29</v>
      </c>
      <c r="N247" s="18">
        <v>100</v>
      </c>
      <c r="O247" s="18">
        <v>21</v>
      </c>
      <c r="P247" s="15">
        <v>0.1</v>
      </c>
      <c r="Q247" s="1" t="s">
        <v>2</v>
      </c>
      <c r="R247" s="20" t="str">
        <f t="shared" si="14"/>
        <v>horizontal</v>
      </c>
      <c r="S247" s="19">
        <v>0.1</v>
      </c>
      <c r="T247" s="19">
        <v>0</v>
      </c>
      <c r="U247" s="19">
        <v>0</v>
      </c>
      <c r="V247" s="20">
        <v>0</v>
      </c>
      <c r="W247" s="20">
        <v>-1</v>
      </c>
      <c r="Y247" s="18">
        <v>30</v>
      </c>
      <c r="Z247" s="15">
        <v>80.052533333333329</v>
      </c>
      <c r="AA247" s="16">
        <v>0.36199999999999999</v>
      </c>
      <c r="AB247" s="16">
        <v>0.38700000000000001</v>
      </c>
      <c r="AC247" s="16">
        <f t="shared" si="17"/>
        <v>0.746</v>
      </c>
      <c r="AD247" s="21">
        <v>0.85981701219616902</v>
      </c>
      <c r="AE247" s="22" t="str">
        <f t="shared" si="15"/>
        <v>UC Berkeley Lab</v>
      </c>
      <c r="AF247" s="22"/>
    </row>
    <row r="248" spans="1:32" x14ac:dyDescent="0.2">
      <c r="A248" s="1">
        <v>381</v>
      </c>
      <c r="B248" s="13">
        <v>43720</v>
      </c>
      <c r="C248" s="1" t="s">
        <v>35</v>
      </c>
      <c r="D248" s="1" t="s">
        <v>4</v>
      </c>
      <c r="E248" s="1" t="s">
        <v>25</v>
      </c>
      <c r="F248" s="15">
        <v>0.64</v>
      </c>
      <c r="G248" s="15">
        <v>0</v>
      </c>
      <c r="H248" s="15">
        <v>4</v>
      </c>
      <c r="I248" s="15">
        <v>0.7</v>
      </c>
      <c r="J248" s="16">
        <v>0.36499999999999999</v>
      </c>
      <c r="K248" s="16">
        <v>1.131</v>
      </c>
      <c r="L248" s="16">
        <f t="shared" si="16"/>
        <v>1.496</v>
      </c>
      <c r="M248" s="17" t="s">
        <v>29</v>
      </c>
      <c r="N248" s="18">
        <v>100</v>
      </c>
      <c r="O248" s="18">
        <v>21</v>
      </c>
      <c r="P248" s="15">
        <v>0.1</v>
      </c>
      <c r="Q248" s="1" t="s">
        <v>2</v>
      </c>
      <c r="R248" s="20" t="str">
        <f t="shared" si="14"/>
        <v>horizontal</v>
      </c>
      <c r="S248" s="19">
        <v>0.1</v>
      </c>
      <c r="T248" s="19">
        <v>0</v>
      </c>
      <c r="U248" s="19">
        <v>0</v>
      </c>
      <c r="V248" s="20">
        <v>0</v>
      </c>
      <c r="W248" s="20">
        <v>-1</v>
      </c>
      <c r="Y248" s="18">
        <v>30</v>
      </c>
      <c r="Z248" s="15">
        <v>60.081533333333333</v>
      </c>
      <c r="AA248" s="16">
        <v>0.32700000000000001</v>
      </c>
      <c r="AB248" s="16">
        <v>0.38500000000000001</v>
      </c>
      <c r="AC248" s="16">
        <f t="shared" si="17"/>
        <v>0.78400000000000003</v>
      </c>
      <c r="AD248" s="21">
        <v>0.82460356732238105</v>
      </c>
      <c r="AE248" s="22" t="str">
        <f t="shared" si="15"/>
        <v>UC Berkeley Lab</v>
      </c>
      <c r="AF248" s="22"/>
    </row>
    <row r="249" spans="1:32" x14ac:dyDescent="0.2">
      <c r="A249" s="1">
        <v>382</v>
      </c>
      <c r="B249" s="13">
        <v>43720</v>
      </c>
      <c r="C249" s="1" t="s">
        <v>35</v>
      </c>
      <c r="D249" s="1" t="s">
        <v>4</v>
      </c>
      <c r="E249" s="1" t="s">
        <v>25</v>
      </c>
      <c r="F249" s="15">
        <v>0.64</v>
      </c>
      <c r="G249" s="15">
        <v>0</v>
      </c>
      <c r="H249" s="15">
        <v>4</v>
      </c>
      <c r="I249" s="15">
        <v>0.7</v>
      </c>
      <c r="J249" s="16">
        <v>0.36599999999999999</v>
      </c>
      <c r="K249" s="16">
        <v>1.129</v>
      </c>
      <c r="L249" s="16">
        <f t="shared" si="16"/>
        <v>1.4950000000000001</v>
      </c>
      <c r="M249" s="17" t="s">
        <v>29</v>
      </c>
      <c r="N249" s="18">
        <v>100</v>
      </c>
      <c r="O249" s="18">
        <v>21</v>
      </c>
      <c r="P249" s="15">
        <v>0.1</v>
      </c>
      <c r="Q249" s="1" t="s">
        <v>2</v>
      </c>
      <c r="R249" s="20" t="str">
        <f t="shared" si="14"/>
        <v>horizontal</v>
      </c>
      <c r="S249" s="19">
        <v>0.1</v>
      </c>
      <c r="T249" s="19">
        <v>0</v>
      </c>
      <c r="U249" s="19">
        <v>0</v>
      </c>
      <c r="V249" s="20">
        <v>0</v>
      </c>
      <c r="W249" s="20">
        <v>-1</v>
      </c>
      <c r="Y249" s="18">
        <v>30</v>
      </c>
      <c r="Z249" s="15">
        <v>60.524966666666671</v>
      </c>
      <c r="AA249" s="16">
        <v>0.32300000000000001</v>
      </c>
      <c r="AB249" s="16">
        <v>0.38700000000000001</v>
      </c>
      <c r="AC249" s="16">
        <f t="shared" si="17"/>
        <v>0.78500000000000014</v>
      </c>
      <c r="AD249" s="21">
        <v>0.83896231553330303</v>
      </c>
      <c r="AE249" s="22" t="str">
        <f t="shared" si="15"/>
        <v>UC Berkeley Lab</v>
      </c>
      <c r="AF249" s="22"/>
    </row>
    <row r="250" spans="1:32" x14ac:dyDescent="0.2">
      <c r="A250" s="1">
        <v>383</v>
      </c>
      <c r="B250" s="13">
        <v>43720</v>
      </c>
      <c r="C250" s="1" t="s">
        <v>35</v>
      </c>
      <c r="D250" s="1" t="s">
        <v>4</v>
      </c>
      <c r="E250" s="1" t="s">
        <v>25</v>
      </c>
      <c r="F250" s="15">
        <v>0.64</v>
      </c>
      <c r="G250" s="15">
        <v>0</v>
      </c>
      <c r="H250" s="15">
        <v>4</v>
      </c>
      <c r="I250" s="15">
        <v>0.7</v>
      </c>
      <c r="J250" s="16">
        <v>0.36399999999999999</v>
      </c>
      <c r="K250" s="16">
        <v>1.127</v>
      </c>
      <c r="L250" s="16">
        <f t="shared" si="16"/>
        <v>1.4910000000000001</v>
      </c>
      <c r="M250" s="17" t="s">
        <v>29</v>
      </c>
      <c r="N250" s="18">
        <v>100</v>
      </c>
      <c r="O250" s="18">
        <v>21</v>
      </c>
      <c r="P250" s="15">
        <v>0.1</v>
      </c>
      <c r="Q250" s="1" t="s">
        <v>2</v>
      </c>
      <c r="R250" s="20" t="str">
        <f t="shared" si="14"/>
        <v>horizontal</v>
      </c>
      <c r="S250" s="19">
        <v>0.1</v>
      </c>
      <c r="T250" s="19">
        <v>0</v>
      </c>
      <c r="U250" s="19">
        <v>0</v>
      </c>
      <c r="V250" s="20">
        <v>0</v>
      </c>
      <c r="W250" s="20">
        <v>-1</v>
      </c>
      <c r="Y250" s="18">
        <v>30</v>
      </c>
      <c r="Z250" s="15">
        <v>60.234066666666671</v>
      </c>
      <c r="AA250" s="16">
        <v>0.33400000000000002</v>
      </c>
      <c r="AB250" s="16">
        <v>0.38900000000000001</v>
      </c>
      <c r="AC250" s="16">
        <f t="shared" si="17"/>
        <v>0.76800000000000002</v>
      </c>
      <c r="AD250" s="21">
        <v>0.82036448563447795</v>
      </c>
      <c r="AE250" s="22" t="str">
        <f t="shared" si="15"/>
        <v>UC Berkeley Lab</v>
      </c>
      <c r="AF250" s="22"/>
    </row>
    <row r="251" spans="1:32" x14ac:dyDescent="0.2">
      <c r="A251" s="1">
        <v>384</v>
      </c>
      <c r="B251" s="13">
        <v>43720</v>
      </c>
      <c r="C251" s="1" t="s">
        <v>35</v>
      </c>
      <c r="D251" s="1" t="s">
        <v>4</v>
      </c>
      <c r="E251" s="1" t="s">
        <v>25</v>
      </c>
      <c r="F251" s="15">
        <v>0.64</v>
      </c>
      <c r="G251" s="15">
        <v>0</v>
      </c>
      <c r="H251" s="15">
        <v>4</v>
      </c>
      <c r="I251" s="15">
        <v>0.7</v>
      </c>
      <c r="J251" s="16">
        <v>0.36599999999999999</v>
      </c>
      <c r="K251" s="16">
        <v>1.137</v>
      </c>
      <c r="L251" s="16">
        <f t="shared" si="16"/>
        <v>1.5030000000000001</v>
      </c>
      <c r="M251" s="17" t="s">
        <v>29</v>
      </c>
      <c r="N251" s="18">
        <v>100</v>
      </c>
      <c r="O251" s="18">
        <v>21</v>
      </c>
      <c r="P251" s="15">
        <v>0.1</v>
      </c>
      <c r="Q251" s="1" t="s">
        <v>2</v>
      </c>
      <c r="R251" s="20" t="str">
        <f t="shared" si="14"/>
        <v>horizontal</v>
      </c>
      <c r="S251" s="19">
        <v>0.1</v>
      </c>
      <c r="T251" s="19">
        <v>0</v>
      </c>
      <c r="U251" s="19">
        <v>0</v>
      </c>
      <c r="V251" s="20">
        <v>0</v>
      </c>
      <c r="W251" s="20">
        <v>-1</v>
      </c>
      <c r="Y251" s="18">
        <v>40</v>
      </c>
      <c r="Z251" s="15">
        <v>40.253233333333334</v>
      </c>
      <c r="AA251" s="16">
        <v>0.27300000000000002</v>
      </c>
      <c r="AB251" s="16">
        <v>0.39300000000000002</v>
      </c>
      <c r="AC251" s="16">
        <f t="shared" si="17"/>
        <v>0.83699999999999997</v>
      </c>
      <c r="AD251" s="21">
        <v>0.698569158037053</v>
      </c>
      <c r="AE251" s="22" t="str">
        <f t="shared" si="15"/>
        <v>UC Berkeley Lab</v>
      </c>
      <c r="AF251" s="22"/>
    </row>
    <row r="252" spans="1:32" x14ac:dyDescent="0.2">
      <c r="A252" s="1">
        <v>385</v>
      </c>
      <c r="B252" s="13">
        <v>43720</v>
      </c>
      <c r="C252" s="1" t="s">
        <v>35</v>
      </c>
      <c r="D252" s="1" t="s">
        <v>4</v>
      </c>
      <c r="E252" s="1" t="s">
        <v>25</v>
      </c>
      <c r="F252" s="15">
        <v>0.64</v>
      </c>
      <c r="G252" s="15">
        <v>0</v>
      </c>
      <c r="H252" s="15">
        <v>4</v>
      </c>
      <c r="I252" s="15">
        <v>0.7</v>
      </c>
      <c r="J252" s="16">
        <v>0.36699999999999999</v>
      </c>
      <c r="K252" s="16">
        <v>1.1339999999999999</v>
      </c>
      <c r="L252" s="16">
        <f t="shared" si="16"/>
        <v>1.5009999999999999</v>
      </c>
      <c r="M252" s="17" t="s">
        <v>29</v>
      </c>
      <c r="N252" s="18">
        <v>100</v>
      </c>
      <c r="O252" s="18">
        <v>21</v>
      </c>
      <c r="P252" s="15">
        <v>0.1</v>
      </c>
      <c r="Q252" s="1" t="s">
        <v>2</v>
      </c>
      <c r="R252" s="20" t="str">
        <f t="shared" si="14"/>
        <v>horizontal</v>
      </c>
      <c r="S252" s="19">
        <v>0.1</v>
      </c>
      <c r="T252" s="19">
        <v>0</v>
      </c>
      <c r="U252" s="19">
        <v>0</v>
      </c>
      <c r="V252" s="20">
        <v>0</v>
      </c>
      <c r="W252" s="20">
        <v>-1</v>
      </c>
      <c r="Y252" s="18">
        <v>40</v>
      </c>
      <c r="Z252" s="15">
        <v>39.983366666666662</v>
      </c>
      <c r="AA252" s="16">
        <v>0.28199999999999997</v>
      </c>
      <c r="AB252" s="16">
        <v>0.39300000000000002</v>
      </c>
      <c r="AC252" s="16">
        <f t="shared" si="17"/>
        <v>0.82599999999999985</v>
      </c>
      <c r="AD252" s="21">
        <v>0.69578541294553997</v>
      </c>
      <c r="AE252" s="22" t="str">
        <f t="shared" si="15"/>
        <v>UC Berkeley Lab</v>
      </c>
      <c r="AF252" s="22"/>
    </row>
    <row r="253" spans="1:32" x14ac:dyDescent="0.2">
      <c r="A253" s="1">
        <v>386</v>
      </c>
      <c r="B253" s="13">
        <v>43720</v>
      </c>
      <c r="C253" s="1" t="s">
        <v>35</v>
      </c>
      <c r="D253" s="1" t="s">
        <v>4</v>
      </c>
      <c r="E253" s="1" t="s">
        <v>25</v>
      </c>
      <c r="F253" s="15">
        <v>0.64</v>
      </c>
      <c r="G253" s="15">
        <v>0</v>
      </c>
      <c r="H253" s="15">
        <v>4</v>
      </c>
      <c r="I253" s="15">
        <v>0.7</v>
      </c>
      <c r="J253" s="16">
        <v>0.36599999999999999</v>
      </c>
      <c r="K253" s="16">
        <v>1.137</v>
      </c>
      <c r="L253" s="16">
        <f t="shared" si="16"/>
        <v>1.5030000000000001</v>
      </c>
      <c r="M253" s="17" t="s">
        <v>29</v>
      </c>
      <c r="N253" s="18">
        <v>100</v>
      </c>
      <c r="O253" s="18">
        <v>21</v>
      </c>
      <c r="P253" s="15">
        <v>0.1</v>
      </c>
      <c r="Q253" s="1" t="s">
        <v>2</v>
      </c>
      <c r="R253" s="20" t="str">
        <f t="shared" si="14"/>
        <v>horizontal</v>
      </c>
      <c r="S253" s="19">
        <v>0.1</v>
      </c>
      <c r="T253" s="19">
        <v>0</v>
      </c>
      <c r="U253" s="19">
        <v>0</v>
      </c>
      <c r="V253" s="20">
        <v>0</v>
      </c>
      <c r="W253" s="20">
        <v>-1</v>
      </c>
      <c r="Y253" s="18">
        <v>40</v>
      </c>
      <c r="Z253" s="15">
        <v>39.690199999999997</v>
      </c>
      <c r="AA253" s="16">
        <v>0.27</v>
      </c>
      <c r="AB253" s="16">
        <v>0.4</v>
      </c>
      <c r="AC253" s="16">
        <f t="shared" si="17"/>
        <v>0.83300000000000007</v>
      </c>
      <c r="AD253" s="21">
        <v>0.64059107888832201</v>
      </c>
      <c r="AE253" s="22" t="str">
        <f t="shared" si="15"/>
        <v>UC Berkeley Lab</v>
      </c>
      <c r="AF253" s="22"/>
    </row>
    <row r="254" spans="1:32" x14ac:dyDescent="0.2">
      <c r="A254" s="1">
        <v>387</v>
      </c>
      <c r="B254" s="13">
        <v>43720</v>
      </c>
      <c r="C254" s="1" t="s">
        <v>35</v>
      </c>
      <c r="D254" s="1" t="s">
        <v>4</v>
      </c>
      <c r="E254" s="1" t="s">
        <v>25</v>
      </c>
      <c r="F254" s="15">
        <v>0.64</v>
      </c>
      <c r="G254" s="15">
        <v>0</v>
      </c>
      <c r="H254" s="15">
        <v>4</v>
      </c>
      <c r="I254" s="15">
        <v>0.7</v>
      </c>
      <c r="J254" s="16">
        <v>0.36499999999999999</v>
      </c>
      <c r="K254" s="16">
        <v>1.135</v>
      </c>
      <c r="L254" s="16">
        <f t="shared" si="16"/>
        <v>1.5</v>
      </c>
      <c r="M254" s="17" t="s">
        <v>29</v>
      </c>
      <c r="N254" s="18">
        <v>100</v>
      </c>
      <c r="O254" s="18">
        <v>21</v>
      </c>
      <c r="P254" s="15">
        <v>0.2</v>
      </c>
      <c r="Q254" s="1" t="s">
        <v>2</v>
      </c>
      <c r="R254" s="20" t="str">
        <f t="shared" si="14"/>
        <v>horizontal</v>
      </c>
      <c r="S254" s="19">
        <v>0.2</v>
      </c>
      <c r="T254" s="19">
        <v>0</v>
      </c>
      <c r="U254" s="19">
        <v>0</v>
      </c>
      <c r="V254" s="20">
        <v>0</v>
      </c>
      <c r="W254" s="20">
        <v>-1</v>
      </c>
      <c r="Y254" s="18">
        <v>40</v>
      </c>
      <c r="Z254" s="15">
        <v>39.981033333333336</v>
      </c>
      <c r="AA254" s="16">
        <v>0.27200000000000002</v>
      </c>
      <c r="AB254" s="16">
        <v>0.39300000000000002</v>
      </c>
      <c r="AC254" s="16">
        <f t="shared" si="17"/>
        <v>0.83499999999999996</v>
      </c>
      <c r="AD254" s="21">
        <v>0.73536749221972098</v>
      </c>
      <c r="AE254" s="22" t="str">
        <f t="shared" si="15"/>
        <v>UC Berkeley Lab</v>
      </c>
      <c r="AF254" s="22"/>
    </row>
    <row r="255" spans="1:32" x14ac:dyDescent="0.2">
      <c r="A255" s="1">
        <v>388</v>
      </c>
      <c r="B255" s="13">
        <v>43720</v>
      </c>
      <c r="C255" s="1" t="s">
        <v>35</v>
      </c>
      <c r="D255" s="1" t="s">
        <v>4</v>
      </c>
      <c r="E255" s="1" t="s">
        <v>25</v>
      </c>
      <c r="F255" s="15">
        <v>0.64</v>
      </c>
      <c r="G255" s="15">
        <v>0</v>
      </c>
      <c r="H255" s="15">
        <v>4</v>
      </c>
      <c r="I255" s="15">
        <v>0.7</v>
      </c>
      <c r="J255" s="16">
        <v>0.36499999999999999</v>
      </c>
      <c r="K255" s="16">
        <v>1.1220000000000001</v>
      </c>
      <c r="L255" s="16">
        <f t="shared" si="16"/>
        <v>1.4870000000000001</v>
      </c>
      <c r="M255" s="17" t="s">
        <v>29</v>
      </c>
      <c r="N255" s="18">
        <v>100</v>
      </c>
      <c r="O255" s="18">
        <v>21</v>
      </c>
      <c r="P255" s="15">
        <v>0.2</v>
      </c>
      <c r="Q255" s="1" t="s">
        <v>2</v>
      </c>
      <c r="R255" s="20" t="str">
        <f t="shared" si="14"/>
        <v>horizontal</v>
      </c>
      <c r="S255" s="19">
        <v>0.2</v>
      </c>
      <c r="T255" s="19">
        <v>0</v>
      </c>
      <c r="U255" s="19">
        <v>0</v>
      </c>
      <c r="V255" s="20">
        <v>0</v>
      </c>
      <c r="W255" s="20">
        <v>-1</v>
      </c>
      <c r="Y255" s="18">
        <v>40</v>
      </c>
      <c r="Z255" s="15">
        <v>39.9651</v>
      </c>
      <c r="AA255" s="16">
        <v>0.27200000000000002</v>
      </c>
      <c r="AB255" s="16">
        <v>0.39300000000000002</v>
      </c>
      <c r="AC255" s="16">
        <f t="shared" si="17"/>
        <v>0.82200000000000006</v>
      </c>
      <c r="AD255" s="21">
        <v>0.76071862471986496</v>
      </c>
      <c r="AE255" s="22" t="str">
        <f t="shared" si="15"/>
        <v>UC Berkeley Lab</v>
      </c>
      <c r="AF255" s="22"/>
    </row>
    <row r="256" spans="1:32" x14ac:dyDescent="0.2">
      <c r="A256" s="1">
        <v>389</v>
      </c>
      <c r="B256" s="13">
        <v>43720</v>
      </c>
      <c r="C256" s="1" t="s">
        <v>35</v>
      </c>
      <c r="D256" s="1" t="s">
        <v>4</v>
      </c>
      <c r="E256" s="1" t="s">
        <v>25</v>
      </c>
      <c r="F256" s="15">
        <v>0.64</v>
      </c>
      <c r="G256" s="15">
        <v>0</v>
      </c>
      <c r="H256" s="15">
        <v>4</v>
      </c>
      <c r="I256" s="15">
        <v>0.7</v>
      </c>
      <c r="J256" s="16">
        <v>0.36699999999999999</v>
      </c>
      <c r="K256" s="16">
        <v>1.1379999999999999</v>
      </c>
      <c r="L256" s="16">
        <f t="shared" si="16"/>
        <v>1.5049999999999999</v>
      </c>
      <c r="M256" s="17" t="s">
        <v>29</v>
      </c>
      <c r="N256" s="18">
        <v>100</v>
      </c>
      <c r="O256" s="18">
        <v>21</v>
      </c>
      <c r="P256" s="15">
        <v>0.2</v>
      </c>
      <c r="Q256" s="1" t="s">
        <v>2</v>
      </c>
      <c r="R256" s="20" t="str">
        <f t="shared" si="14"/>
        <v>horizontal</v>
      </c>
      <c r="S256" s="19">
        <v>0.2</v>
      </c>
      <c r="T256" s="19">
        <v>0</v>
      </c>
      <c r="U256" s="19">
        <v>0</v>
      </c>
      <c r="V256" s="20">
        <v>0</v>
      </c>
      <c r="W256" s="20">
        <v>-1</v>
      </c>
      <c r="Y256" s="18">
        <v>40</v>
      </c>
      <c r="Z256" s="15">
        <v>40.089233333333333</v>
      </c>
      <c r="AA256" s="16">
        <v>0.26</v>
      </c>
      <c r="AB256" s="16">
        <v>0.39100000000000001</v>
      </c>
      <c r="AC256" s="16">
        <f t="shared" si="17"/>
        <v>0.85399999999999987</v>
      </c>
      <c r="AD256" s="21">
        <v>0.73680131021982598</v>
      </c>
      <c r="AE256" s="22" t="str">
        <f t="shared" si="15"/>
        <v>UC Berkeley Lab</v>
      </c>
      <c r="AF256" s="22"/>
    </row>
    <row r="257" spans="1:32" x14ac:dyDescent="0.2">
      <c r="A257" s="1">
        <v>390</v>
      </c>
      <c r="B257" s="13">
        <v>43720</v>
      </c>
      <c r="C257" s="1" t="s">
        <v>35</v>
      </c>
      <c r="D257" s="1" t="s">
        <v>4</v>
      </c>
      <c r="E257" s="1" t="s">
        <v>25</v>
      </c>
      <c r="F257" s="15">
        <v>0.64</v>
      </c>
      <c r="G257" s="15">
        <v>0</v>
      </c>
      <c r="H257" s="15">
        <v>4</v>
      </c>
      <c r="I257" s="15">
        <v>0.7</v>
      </c>
      <c r="J257" s="16">
        <v>0.36499999999999999</v>
      </c>
      <c r="K257" s="16">
        <v>1.1339999999999999</v>
      </c>
      <c r="L257" s="16">
        <f t="shared" si="16"/>
        <v>1.4989999999999999</v>
      </c>
      <c r="M257" s="17" t="s">
        <v>29</v>
      </c>
      <c r="N257" s="18">
        <v>100</v>
      </c>
      <c r="O257" s="18">
        <v>21</v>
      </c>
      <c r="P257" s="15">
        <v>0.1</v>
      </c>
      <c r="Q257" s="1" t="s">
        <v>1</v>
      </c>
      <c r="R257" s="20" t="str">
        <f t="shared" si="14"/>
        <v>horizontal</v>
      </c>
      <c r="S257" s="19">
        <v>-0.1</v>
      </c>
      <c r="T257" s="19">
        <v>0</v>
      </c>
      <c r="U257" s="19">
        <v>0</v>
      </c>
      <c r="V257" s="20">
        <v>0</v>
      </c>
      <c r="W257" s="20">
        <v>-1</v>
      </c>
      <c r="Y257" s="18">
        <v>35</v>
      </c>
      <c r="Z257" s="15">
        <v>39.833833333333331</v>
      </c>
      <c r="AA257" s="16">
        <v>0.25700000000000001</v>
      </c>
      <c r="AB257" s="16">
        <v>0.39300000000000002</v>
      </c>
      <c r="AC257" s="16">
        <f t="shared" si="17"/>
        <v>0.84899999999999998</v>
      </c>
      <c r="AD257" s="21">
        <v>0.48602228453025498</v>
      </c>
      <c r="AE257" s="22" t="str">
        <f t="shared" si="15"/>
        <v>UC Berkeley Lab</v>
      </c>
      <c r="AF257" s="22"/>
    </row>
    <row r="258" spans="1:32" x14ac:dyDescent="0.2">
      <c r="A258" s="1">
        <v>391</v>
      </c>
      <c r="B258" s="13">
        <v>43720</v>
      </c>
      <c r="C258" s="1" t="s">
        <v>35</v>
      </c>
      <c r="D258" s="1" t="s">
        <v>4</v>
      </c>
      <c r="E258" s="1" t="s">
        <v>25</v>
      </c>
      <c r="F258" s="15">
        <v>0.64</v>
      </c>
      <c r="G258" s="15">
        <v>0</v>
      </c>
      <c r="H258" s="15">
        <v>4</v>
      </c>
      <c r="I258" s="15">
        <v>0.7</v>
      </c>
      <c r="J258" s="16">
        <v>0.36499999999999999</v>
      </c>
      <c r="K258" s="16">
        <v>1.1299999999999999</v>
      </c>
      <c r="L258" s="16">
        <f t="shared" si="16"/>
        <v>1.4949999999999999</v>
      </c>
      <c r="M258" s="17" t="s">
        <v>29</v>
      </c>
      <c r="N258" s="18">
        <v>100</v>
      </c>
      <c r="O258" s="18">
        <v>21</v>
      </c>
      <c r="P258" s="15">
        <v>0.1</v>
      </c>
      <c r="Q258" s="1" t="s">
        <v>1</v>
      </c>
      <c r="R258" s="20" t="str">
        <f t="shared" si="14"/>
        <v>horizontal</v>
      </c>
      <c r="S258" s="19">
        <v>-0.1</v>
      </c>
      <c r="T258" s="19">
        <v>0</v>
      </c>
      <c r="U258" s="19">
        <v>0</v>
      </c>
      <c r="V258" s="20">
        <v>0</v>
      </c>
      <c r="W258" s="20">
        <v>-1</v>
      </c>
      <c r="Y258" s="18">
        <v>35</v>
      </c>
      <c r="Z258" s="15">
        <v>39.911866666666668</v>
      </c>
      <c r="AA258" s="16">
        <v>0.25800000000000001</v>
      </c>
      <c r="AB258" s="16">
        <v>0.39</v>
      </c>
      <c r="AC258" s="16">
        <f t="shared" si="17"/>
        <v>0.84699999999999986</v>
      </c>
      <c r="AD258" s="21">
        <v>0.50978356442281003</v>
      </c>
      <c r="AE258" s="22" t="str">
        <f t="shared" si="15"/>
        <v>UC Berkeley Lab</v>
      </c>
      <c r="AF258" s="22"/>
    </row>
    <row r="259" spans="1:32" x14ac:dyDescent="0.2">
      <c r="A259" s="1">
        <v>394</v>
      </c>
      <c r="B259" s="13">
        <v>43720</v>
      </c>
      <c r="C259" s="1" t="s">
        <v>35</v>
      </c>
      <c r="D259" s="1" t="s">
        <v>4</v>
      </c>
      <c r="E259" s="1" t="s">
        <v>25</v>
      </c>
      <c r="F259" s="15">
        <v>0.64</v>
      </c>
      <c r="G259" s="15">
        <v>0</v>
      </c>
      <c r="H259" s="15">
        <v>4</v>
      </c>
      <c r="I259" s="15">
        <v>0.7</v>
      </c>
      <c r="J259" s="16">
        <v>0.36299999999999999</v>
      </c>
      <c r="K259" s="16">
        <v>1.1279999999999999</v>
      </c>
      <c r="L259" s="16">
        <f t="shared" si="16"/>
        <v>1.4909999999999999</v>
      </c>
      <c r="M259" s="17" t="s">
        <v>29</v>
      </c>
      <c r="N259" s="18">
        <v>100</v>
      </c>
      <c r="O259" s="18">
        <v>21</v>
      </c>
      <c r="P259" s="15">
        <v>0.2</v>
      </c>
      <c r="Q259" s="1" t="s">
        <v>1</v>
      </c>
      <c r="R259" s="20" t="str">
        <f t="shared" si="14"/>
        <v>horizontal</v>
      </c>
      <c r="S259" s="19">
        <v>-0.2</v>
      </c>
      <c r="T259" s="19">
        <v>0</v>
      </c>
      <c r="U259" s="19">
        <v>0</v>
      </c>
      <c r="V259" s="20">
        <v>0</v>
      </c>
      <c r="W259" s="20">
        <v>-1</v>
      </c>
      <c r="Y259" s="18">
        <v>35</v>
      </c>
      <c r="Z259" s="15">
        <v>39.863999999999997</v>
      </c>
      <c r="AA259" s="16">
        <v>0.25900000000000001</v>
      </c>
      <c r="AB259" s="16">
        <v>0.38800000000000001</v>
      </c>
      <c r="AC259" s="16">
        <f t="shared" si="17"/>
        <v>0.84399999999999975</v>
      </c>
      <c r="AD259" s="21">
        <v>0.42818773729666199</v>
      </c>
      <c r="AE259" s="22" t="str">
        <f t="shared" si="15"/>
        <v>UC Berkeley Lab</v>
      </c>
      <c r="AF259" s="22"/>
    </row>
    <row r="260" spans="1:32" x14ac:dyDescent="0.2">
      <c r="A260" s="1">
        <v>395</v>
      </c>
      <c r="B260" s="13">
        <v>43720</v>
      </c>
      <c r="C260" s="1" t="s">
        <v>35</v>
      </c>
      <c r="D260" s="1" t="s">
        <v>4</v>
      </c>
      <c r="E260" s="1" t="s">
        <v>25</v>
      </c>
      <c r="F260" s="15">
        <v>0.64</v>
      </c>
      <c r="G260" s="15">
        <v>0</v>
      </c>
      <c r="H260" s="15">
        <v>4</v>
      </c>
      <c r="I260" s="15">
        <v>0.7</v>
      </c>
      <c r="J260" s="16">
        <v>0.36499999999999999</v>
      </c>
      <c r="K260" s="16">
        <v>1.125</v>
      </c>
      <c r="L260" s="16">
        <f t="shared" si="16"/>
        <v>1.49</v>
      </c>
      <c r="M260" s="17" t="s">
        <v>29</v>
      </c>
      <c r="N260" s="18">
        <v>100</v>
      </c>
      <c r="O260" s="18">
        <v>21</v>
      </c>
      <c r="P260" s="15">
        <v>0.2</v>
      </c>
      <c r="Q260" s="1" t="s">
        <v>1</v>
      </c>
      <c r="R260" s="20" t="str">
        <f t="shared" ref="R260:R323" si="18">R259</f>
        <v>horizontal</v>
      </c>
      <c r="S260" s="19">
        <v>-0.2</v>
      </c>
      <c r="T260" s="19">
        <v>0</v>
      </c>
      <c r="U260" s="19">
        <v>0</v>
      </c>
      <c r="V260" s="20">
        <v>0</v>
      </c>
      <c r="W260" s="20">
        <v>-1</v>
      </c>
      <c r="Y260" s="18">
        <v>35</v>
      </c>
      <c r="Z260" s="15">
        <v>38.427900000000001</v>
      </c>
      <c r="AA260" s="16">
        <v>0.253</v>
      </c>
      <c r="AB260" s="16">
        <v>0.38700000000000001</v>
      </c>
      <c r="AC260" s="16">
        <f t="shared" si="17"/>
        <v>0.85000000000000009</v>
      </c>
      <c r="AD260" s="21">
        <v>0.43734120054755199</v>
      </c>
      <c r="AE260" s="22" t="str">
        <f t="shared" ref="AE260:AE323" si="19">AE259</f>
        <v>UC Berkeley Lab</v>
      </c>
      <c r="AF260" s="22"/>
    </row>
    <row r="261" spans="1:32" x14ac:dyDescent="0.2">
      <c r="A261" s="1">
        <v>396</v>
      </c>
      <c r="B261" s="13">
        <v>43720</v>
      </c>
      <c r="C261" s="1" t="s">
        <v>35</v>
      </c>
      <c r="D261" s="1" t="s">
        <v>4</v>
      </c>
      <c r="E261" s="1" t="s">
        <v>25</v>
      </c>
      <c r="F261" s="15">
        <v>0.64</v>
      </c>
      <c r="G261" s="15">
        <v>0</v>
      </c>
      <c r="H261" s="15">
        <v>4</v>
      </c>
      <c r="I261" s="15">
        <v>0.7</v>
      </c>
      <c r="J261" s="16">
        <v>0.36199999999999999</v>
      </c>
      <c r="K261" s="16">
        <v>1.1299999999999999</v>
      </c>
      <c r="L261" s="16">
        <f t="shared" si="16"/>
        <v>1.492</v>
      </c>
      <c r="M261" s="17" t="s">
        <v>29</v>
      </c>
      <c r="N261" s="18">
        <v>100</v>
      </c>
      <c r="O261" s="18">
        <v>21</v>
      </c>
      <c r="P261" s="15">
        <v>0.2</v>
      </c>
      <c r="Q261" s="1" t="s">
        <v>1</v>
      </c>
      <c r="R261" s="20" t="str">
        <f t="shared" si="18"/>
        <v>horizontal</v>
      </c>
      <c r="S261" s="19">
        <v>-0.2</v>
      </c>
      <c r="T261" s="19">
        <v>0</v>
      </c>
      <c r="U261" s="19">
        <v>0</v>
      </c>
      <c r="V261" s="20">
        <v>0</v>
      </c>
      <c r="W261" s="20">
        <v>-1</v>
      </c>
      <c r="Y261" s="18">
        <v>35</v>
      </c>
      <c r="Z261" s="15">
        <v>39.908299999999997</v>
      </c>
      <c r="AA261" s="16">
        <v>0.26100000000000001</v>
      </c>
      <c r="AB261" s="16">
        <v>0.38100000000000001</v>
      </c>
      <c r="AC261" s="16">
        <f t="shared" si="17"/>
        <v>0.84999999999999987</v>
      </c>
      <c r="AD261" s="21">
        <v>0.435286764156808</v>
      </c>
      <c r="AE261" s="22" t="str">
        <f t="shared" si="19"/>
        <v>UC Berkeley Lab</v>
      </c>
      <c r="AF261" s="22"/>
    </row>
    <row r="262" spans="1:32" x14ac:dyDescent="0.2">
      <c r="A262" s="1">
        <v>406</v>
      </c>
      <c r="B262" s="13">
        <v>43731</v>
      </c>
      <c r="C262" s="1" t="s">
        <v>35</v>
      </c>
      <c r="D262" s="1" t="s">
        <v>4</v>
      </c>
      <c r="E262" s="1" t="s">
        <v>25</v>
      </c>
      <c r="F262" s="15">
        <v>0.64</v>
      </c>
      <c r="G262" s="15">
        <v>0</v>
      </c>
      <c r="H262" s="15">
        <v>4</v>
      </c>
      <c r="I262" s="15">
        <v>0.7</v>
      </c>
      <c r="J262" s="16">
        <v>0.36299999999999999</v>
      </c>
      <c r="K262" s="16">
        <v>1.1359999999999999</v>
      </c>
      <c r="L262" s="16">
        <f t="shared" si="16"/>
        <v>1.4989999999999999</v>
      </c>
      <c r="M262" s="17" t="s">
        <v>29</v>
      </c>
      <c r="N262" s="18">
        <v>100</v>
      </c>
      <c r="O262" s="18">
        <v>21</v>
      </c>
      <c r="P262" s="15">
        <v>0.2</v>
      </c>
      <c r="Q262" s="1" t="s">
        <v>1</v>
      </c>
      <c r="R262" s="20" t="str">
        <f t="shared" si="18"/>
        <v>horizontal</v>
      </c>
      <c r="S262" s="19">
        <v>-0.2</v>
      </c>
      <c r="T262" s="19">
        <v>0</v>
      </c>
      <c r="U262" s="19">
        <v>0</v>
      </c>
      <c r="V262" s="20">
        <v>0</v>
      </c>
      <c r="W262" s="20">
        <v>-1</v>
      </c>
      <c r="Y262" s="18">
        <v>30</v>
      </c>
      <c r="Z262" s="15">
        <v>100.13706666666667</v>
      </c>
      <c r="AA262" s="16">
        <v>0.39</v>
      </c>
      <c r="AB262" s="16">
        <v>0.39</v>
      </c>
      <c r="AC262" s="16">
        <f t="shared" si="17"/>
        <v>0.71899999999999997</v>
      </c>
      <c r="AD262" s="21">
        <v>0.57362799525319097</v>
      </c>
      <c r="AE262" s="22" t="str">
        <f t="shared" si="19"/>
        <v>UC Berkeley Lab</v>
      </c>
      <c r="AF262" s="22"/>
    </row>
    <row r="263" spans="1:32" x14ac:dyDescent="0.2">
      <c r="A263" s="1">
        <v>407</v>
      </c>
      <c r="B263" s="13">
        <v>43731</v>
      </c>
      <c r="C263" s="1" t="s">
        <v>35</v>
      </c>
      <c r="D263" s="1" t="s">
        <v>4</v>
      </c>
      <c r="E263" s="1" t="s">
        <v>25</v>
      </c>
      <c r="F263" s="15">
        <v>0.64</v>
      </c>
      <c r="G263" s="15">
        <v>0</v>
      </c>
      <c r="H263" s="15">
        <v>4</v>
      </c>
      <c r="I263" s="15">
        <v>0.7</v>
      </c>
      <c r="J263" s="16">
        <v>0.36499999999999999</v>
      </c>
      <c r="K263" s="16">
        <v>1.135</v>
      </c>
      <c r="L263" s="16">
        <f t="shared" si="16"/>
        <v>1.5</v>
      </c>
      <c r="M263" s="17" t="s">
        <v>29</v>
      </c>
      <c r="N263" s="18">
        <v>100</v>
      </c>
      <c r="O263" s="18">
        <v>21</v>
      </c>
      <c r="P263" s="15">
        <v>0.2</v>
      </c>
      <c r="Q263" s="1" t="s">
        <v>1</v>
      </c>
      <c r="R263" s="20" t="str">
        <f t="shared" si="18"/>
        <v>horizontal</v>
      </c>
      <c r="S263" s="19">
        <v>-0.2</v>
      </c>
      <c r="T263" s="19">
        <v>0</v>
      </c>
      <c r="U263" s="19">
        <v>0</v>
      </c>
      <c r="V263" s="20">
        <v>0</v>
      </c>
      <c r="W263" s="20">
        <v>-1</v>
      </c>
      <c r="Y263" s="18">
        <v>30</v>
      </c>
      <c r="Z263" s="15">
        <v>100.1016</v>
      </c>
      <c r="AA263" s="16">
        <v>0.36</v>
      </c>
      <c r="AB263" s="16">
        <v>0.6</v>
      </c>
      <c r="AC263" s="16">
        <f t="shared" si="17"/>
        <v>0.54000000000000015</v>
      </c>
      <c r="AD263" s="21">
        <v>0.60541344568226496</v>
      </c>
      <c r="AE263" s="22" t="str">
        <f t="shared" si="19"/>
        <v>UC Berkeley Lab</v>
      </c>
      <c r="AF263" s="22"/>
    </row>
    <row r="264" spans="1:32" x14ac:dyDescent="0.2">
      <c r="A264" s="1">
        <v>408</v>
      </c>
      <c r="B264" s="13">
        <v>43731</v>
      </c>
      <c r="C264" s="1" t="s">
        <v>35</v>
      </c>
      <c r="D264" s="1" t="s">
        <v>4</v>
      </c>
      <c r="E264" s="1" t="s">
        <v>25</v>
      </c>
      <c r="F264" s="15">
        <v>0.64</v>
      </c>
      <c r="G264" s="15">
        <v>0</v>
      </c>
      <c r="H264" s="15">
        <v>4</v>
      </c>
      <c r="I264" s="15">
        <v>0.7</v>
      </c>
      <c r="J264" s="16">
        <v>0.36399999999999999</v>
      </c>
      <c r="K264" s="16">
        <v>1.127</v>
      </c>
      <c r="L264" s="16">
        <f t="shared" si="16"/>
        <v>1.4910000000000001</v>
      </c>
      <c r="M264" s="17" t="s">
        <v>29</v>
      </c>
      <c r="N264" s="18">
        <v>100</v>
      </c>
      <c r="O264" s="18">
        <v>21</v>
      </c>
      <c r="P264" s="15">
        <v>0.2</v>
      </c>
      <c r="Q264" s="1" t="s">
        <v>1</v>
      </c>
      <c r="R264" s="20" t="str">
        <f t="shared" si="18"/>
        <v>horizontal</v>
      </c>
      <c r="S264" s="19">
        <v>-0.2</v>
      </c>
      <c r="T264" s="19">
        <v>0</v>
      </c>
      <c r="U264" s="19">
        <v>0</v>
      </c>
      <c r="V264" s="20">
        <v>0</v>
      </c>
      <c r="W264" s="20">
        <v>-1</v>
      </c>
      <c r="Y264" s="18">
        <v>30</v>
      </c>
      <c r="Z264" s="15">
        <v>100.11946666666667</v>
      </c>
      <c r="AA264" s="16">
        <v>0.378</v>
      </c>
      <c r="AB264" s="16">
        <v>0.378</v>
      </c>
      <c r="AC264" s="16">
        <f t="shared" si="17"/>
        <v>0.73499999999999999</v>
      </c>
      <c r="AD264" s="21">
        <v>0.58271389246736105</v>
      </c>
      <c r="AE264" s="22" t="str">
        <f t="shared" si="19"/>
        <v>UC Berkeley Lab</v>
      </c>
      <c r="AF264" s="22"/>
    </row>
    <row r="265" spans="1:32" x14ac:dyDescent="0.2">
      <c r="A265" s="1">
        <v>409</v>
      </c>
      <c r="B265" s="13">
        <v>43731</v>
      </c>
      <c r="C265" s="1" t="s">
        <v>35</v>
      </c>
      <c r="D265" s="1" t="s">
        <v>4</v>
      </c>
      <c r="E265" s="1" t="s">
        <v>25</v>
      </c>
      <c r="F265" s="15">
        <v>0.64</v>
      </c>
      <c r="G265" s="15">
        <v>0</v>
      </c>
      <c r="H265" s="15">
        <v>4</v>
      </c>
      <c r="I265" s="15">
        <v>0.7</v>
      </c>
      <c r="J265" s="16">
        <v>0.36299999999999999</v>
      </c>
      <c r="K265" s="16">
        <v>1.133</v>
      </c>
      <c r="L265" s="16">
        <f t="shared" si="16"/>
        <v>1.496</v>
      </c>
      <c r="M265" s="17" t="s">
        <v>29</v>
      </c>
      <c r="N265" s="18">
        <v>100</v>
      </c>
      <c r="O265" s="18">
        <v>21</v>
      </c>
      <c r="P265" s="15">
        <v>0.2</v>
      </c>
      <c r="Q265" s="1" t="s">
        <v>1</v>
      </c>
      <c r="R265" s="20" t="str">
        <f t="shared" si="18"/>
        <v>horizontal</v>
      </c>
      <c r="S265" s="19">
        <v>-0.2</v>
      </c>
      <c r="T265" s="19">
        <v>0</v>
      </c>
      <c r="U265" s="19">
        <v>0</v>
      </c>
      <c r="V265" s="20">
        <v>0</v>
      </c>
      <c r="W265" s="20">
        <v>-1</v>
      </c>
      <c r="Y265" s="18">
        <v>32</v>
      </c>
      <c r="Z265" s="15">
        <v>80.203299999999999</v>
      </c>
      <c r="AA265" s="16">
        <v>0.33500000000000002</v>
      </c>
      <c r="AB265" s="16">
        <v>0.33500000000000002</v>
      </c>
      <c r="AC265" s="16">
        <f t="shared" si="17"/>
        <v>0.82600000000000007</v>
      </c>
      <c r="AD265" s="21">
        <v>0.54592146583328305</v>
      </c>
      <c r="AE265" s="22" t="str">
        <f t="shared" si="19"/>
        <v>UC Berkeley Lab</v>
      </c>
      <c r="AF265" s="22"/>
    </row>
    <row r="266" spans="1:32" x14ac:dyDescent="0.2">
      <c r="A266" s="1">
        <v>410</v>
      </c>
      <c r="B266" s="13">
        <v>43731</v>
      </c>
      <c r="C266" s="1" t="s">
        <v>35</v>
      </c>
      <c r="D266" s="1" t="s">
        <v>4</v>
      </c>
      <c r="E266" s="1" t="s">
        <v>25</v>
      </c>
      <c r="F266" s="15">
        <v>0.64</v>
      </c>
      <c r="G266" s="15">
        <v>0</v>
      </c>
      <c r="H266" s="15">
        <v>4</v>
      </c>
      <c r="I266" s="15">
        <v>0.7</v>
      </c>
      <c r="J266" s="16">
        <v>0.36299999999999999</v>
      </c>
      <c r="K266" s="16">
        <v>1.1359999999999999</v>
      </c>
      <c r="L266" s="16">
        <f t="shared" si="16"/>
        <v>1.4989999999999999</v>
      </c>
      <c r="M266" s="17" t="s">
        <v>29</v>
      </c>
      <c r="N266" s="18">
        <v>100</v>
      </c>
      <c r="O266" s="18">
        <v>21</v>
      </c>
      <c r="P266" s="15">
        <v>0.2</v>
      </c>
      <c r="Q266" s="1" t="s">
        <v>1</v>
      </c>
      <c r="R266" s="20" t="str">
        <f t="shared" si="18"/>
        <v>horizontal</v>
      </c>
      <c r="S266" s="19">
        <v>-0.2</v>
      </c>
      <c r="T266" s="19">
        <v>0</v>
      </c>
      <c r="U266" s="19">
        <v>0</v>
      </c>
      <c r="V266" s="20">
        <v>0</v>
      </c>
      <c r="W266" s="20">
        <v>-1</v>
      </c>
      <c r="Y266" s="18">
        <v>35</v>
      </c>
      <c r="Z266" s="15">
        <v>80.151899999999998</v>
      </c>
      <c r="AA266" s="16">
        <v>0.34200000000000003</v>
      </c>
      <c r="AB266" s="16">
        <v>0.34200000000000003</v>
      </c>
      <c r="AC266" s="16">
        <f t="shared" si="17"/>
        <v>0.81499999999999972</v>
      </c>
      <c r="AD266" s="21">
        <v>0.56009105690958005</v>
      </c>
      <c r="AE266" s="22" t="str">
        <f t="shared" si="19"/>
        <v>UC Berkeley Lab</v>
      </c>
      <c r="AF266" s="22"/>
    </row>
    <row r="267" spans="1:32" x14ac:dyDescent="0.2">
      <c r="A267" s="1">
        <v>411</v>
      </c>
      <c r="B267" s="13">
        <v>43731</v>
      </c>
      <c r="C267" s="1" t="s">
        <v>35</v>
      </c>
      <c r="D267" s="1" t="s">
        <v>4</v>
      </c>
      <c r="E267" s="1" t="s">
        <v>25</v>
      </c>
      <c r="F267" s="15">
        <v>0.64</v>
      </c>
      <c r="G267" s="15">
        <v>0</v>
      </c>
      <c r="H267" s="15">
        <v>4</v>
      </c>
      <c r="I267" s="15">
        <v>0.7</v>
      </c>
      <c r="J267" s="16">
        <v>0.36399999999999999</v>
      </c>
      <c r="K267" s="16">
        <v>1.133</v>
      </c>
      <c r="L267" s="16">
        <f t="shared" si="16"/>
        <v>1.4969999999999999</v>
      </c>
      <c r="M267" s="17" t="s">
        <v>29</v>
      </c>
      <c r="N267" s="18">
        <v>100</v>
      </c>
      <c r="O267" s="18">
        <v>21</v>
      </c>
      <c r="P267" s="15">
        <v>0.2</v>
      </c>
      <c r="Q267" s="1" t="s">
        <v>1</v>
      </c>
      <c r="R267" s="20" t="str">
        <f t="shared" si="18"/>
        <v>horizontal</v>
      </c>
      <c r="S267" s="19">
        <v>-0.2</v>
      </c>
      <c r="T267" s="19">
        <v>0</v>
      </c>
      <c r="U267" s="19">
        <v>0</v>
      </c>
      <c r="V267" s="20">
        <v>0</v>
      </c>
      <c r="W267" s="20">
        <v>-1</v>
      </c>
      <c r="Y267" s="18">
        <v>35</v>
      </c>
      <c r="Z267" s="15">
        <v>80.189133333333331</v>
      </c>
      <c r="AA267" s="16">
        <v>0.33600000000000002</v>
      </c>
      <c r="AB267" s="16">
        <v>0.33600000000000002</v>
      </c>
      <c r="AC267" s="16">
        <f t="shared" si="17"/>
        <v>0.82499999999999973</v>
      </c>
      <c r="AD267" s="21">
        <v>0.53579686423713702</v>
      </c>
      <c r="AE267" s="22" t="str">
        <f t="shared" si="19"/>
        <v>UC Berkeley Lab</v>
      </c>
      <c r="AF267" s="22"/>
    </row>
    <row r="268" spans="1:32" x14ac:dyDescent="0.2">
      <c r="A268" s="1">
        <v>412</v>
      </c>
      <c r="B268" s="13">
        <v>43731</v>
      </c>
      <c r="C268" s="1" t="s">
        <v>35</v>
      </c>
      <c r="D268" s="1" t="s">
        <v>4</v>
      </c>
      <c r="E268" s="1" t="s">
        <v>25</v>
      </c>
      <c r="F268" s="15">
        <v>0.64</v>
      </c>
      <c r="G268" s="15">
        <v>0</v>
      </c>
      <c r="H268" s="15">
        <v>4</v>
      </c>
      <c r="I268" s="15">
        <v>0.7</v>
      </c>
      <c r="J268" s="16">
        <v>0.36499999999999999</v>
      </c>
      <c r="K268" s="16">
        <v>1.1359999999999999</v>
      </c>
      <c r="L268" s="16">
        <f t="shared" si="16"/>
        <v>1.5009999999999999</v>
      </c>
      <c r="M268" s="17" t="s">
        <v>29</v>
      </c>
      <c r="N268" s="18">
        <v>100</v>
      </c>
      <c r="O268" s="18">
        <v>21</v>
      </c>
      <c r="P268" s="15">
        <v>0.2</v>
      </c>
      <c r="Q268" s="1" t="s">
        <v>1</v>
      </c>
      <c r="R268" s="20" t="str">
        <f t="shared" si="18"/>
        <v>horizontal</v>
      </c>
      <c r="S268" s="19">
        <v>-0.2</v>
      </c>
      <c r="T268" s="19">
        <v>0</v>
      </c>
      <c r="U268" s="19">
        <v>0</v>
      </c>
      <c r="V268" s="20">
        <v>0</v>
      </c>
      <c r="W268" s="20">
        <v>-1</v>
      </c>
      <c r="Y268" s="18">
        <v>35</v>
      </c>
      <c r="Z268" s="15">
        <v>60.023000000000003</v>
      </c>
      <c r="AA268" s="16">
        <v>0.3</v>
      </c>
      <c r="AB268" s="16">
        <v>0.36699999999999999</v>
      </c>
      <c r="AC268" s="16">
        <f t="shared" si="17"/>
        <v>0.83399999999999985</v>
      </c>
      <c r="AD268" s="21">
        <v>0.503641721053666</v>
      </c>
      <c r="AE268" s="22" t="str">
        <f t="shared" si="19"/>
        <v>UC Berkeley Lab</v>
      </c>
      <c r="AF268" s="22"/>
    </row>
    <row r="269" spans="1:32" x14ac:dyDescent="0.2">
      <c r="A269" s="1">
        <v>413</v>
      </c>
      <c r="B269" s="13">
        <v>43731</v>
      </c>
      <c r="C269" s="1" t="s">
        <v>35</v>
      </c>
      <c r="D269" s="1" t="s">
        <v>4</v>
      </c>
      <c r="E269" s="1" t="s">
        <v>25</v>
      </c>
      <c r="F269" s="15">
        <v>0.64</v>
      </c>
      <c r="G269" s="15">
        <v>0</v>
      </c>
      <c r="H269" s="15">
        <v>4</v>
      </c>
      <c r="I269" s="15">
        <v>0.7</v>
      </c>
      <c r="J269" s="16">
        <v>0.36499999999999999</v>
      </c>
      <c r="K269" s="16">
        <v>1.131</v>
      </c>
      <c r="L269" s="16">
        <f t="shared" si="16"/>
        <v>1.496</v>
      </c>
      <c r="M269" s="17" t="s">
        <v>29</v>
      </c>
      <c r="N269" s="18">
        <v>100</v>
      </c>
      <c r="O269" s="18">
        <v>21</v>
      </c>
      <c r="P269" s="15">
        <v>0.2</v>
      </c>
      <c r="Q269" s="1" t="s">
        <v>1</v>
      </c>
      <c r="R269" s="20" t="str">
        <f t="shared" si="18"/>
        <v>horizontal</v>
      </c>
      <c r="S269" s="19">
        <v>-0.2</v>
      </c>
      <c r="T269" s="19">
        <v>0</v>
      </c>
      <c r="U269" s="19">
        <v>0</v>
      </c>
      <c r="V269" s="20">
        <v>0</v>
      </c>
      <c r="W269" s="20">
        <v>-1</v>
      </c>
      <c r="Y269" s="18">
        <v>35</v>
      </c>
      <c r="Z269" s="15">
        <v>59.983966666666674</v>
      </c>
      <c r="AA269" s="16">
        <v>0.32200000000000001</v>
      </c>
      <c r="AB269" s="16">
        <v>0.37</v>
      </c>
      <c r="AC269" s="16">
        <f t="shared" si="17"/>
        <v>0.80399999999999994</v>
      </c>
      <c r="AD269" s="21">
        <v>0.49294675720880998</v>
      </c>
      <c r="AE269" s="22" t="str">
        <f t="shared" si="19"/>
        <v>UC Berkeley Lab</v>
      </c>
      <c r="AF269" s="22"/>
    </row>
    <row r="270" spans="1:32" x14ac:dyDescent="0.2">
      <c r="A270" s="1">
        <v>414</v>
      </c>
      <c r="B270" s="13">
        <v>43731</v>
      </c>
      <c r="C270" s="1" t="s">
        <v>35</v>
      </c>
      <c r="D270" s="1" t="s">
        <v>4</v>
      </c>
      <c r="E270" s="1" t="s">
        <v>25</v>
      </c>
      <c r="F270" s="15">
        <v>0.64</v>
      </c>
      <c r="G270" s="15">
        <v>0</v>
      </c>
      <c r="H270" s="15">
        <v>4</v>
      </c>
      <c r="I270" s="15">
        <v>0.7</v>
      </c>
      <c r="J270" s="16">
        <v>0.36499999999999999</v>
      </c>
      <c r="K270" s="16">
        <v>1.1339999999999999</v>
      </c>
      <c r="L270" s="16">
        <f t="shared" si="16"/>
        <v>1.4989999999999999</v>
      </c>
      <c r="M270" s="17" t="s">
        <v>29</v>
      </c>
      <c r="N270" s="18">
        <v>100</v>
      </c>
      <c r="O270" s="18">
        <v>21</v>
      </c>
      <c r="P270" s="15">
        <v>0.2</v>
      </c>
      <c r="Q270" s="1" t="s">
        <v>1</v>
      </c>
      <c r="R270" s="20" t="str">
        <f t="shared" si="18"/>
        <v>horizontal</v>
      </c>
      <c r="S270" s="19">
        <v>-0.2</v>
      </c>
      <c r="T270" s="19">
        <v>0</v>
      </c>
      <c r="U270" s="19">
        <v>0</v>
      </c>
      <c r="V270" s="20">
        <v>0</v>
      </c>
      <c r="W270" s="20">
        <v>-1</v>
      </c>
      <c r="Y270" s="18">
        <v>35</v>
      </c>
      <c r="Z270" s="15">
        <v>60.046066666666661</v>
      </c>
      <c r="AA270" s="16">
        <v>0.29099999999999998</v>
      </c>
      <c r="AB270" s="16">
        <v>0.36699999999999999</v>
      </c>
      <c r="AC270" s="16">
        <f t="shared" si="17"/>
        <v>0.84099999999999997</v>
      </c>
      <c r="AD270" s="21">
        <v>0.48255743779731902</v>
      </c>
      <c r="AE270" s="22" t="str">
        <f t="shared" si="19"/>
        <v>UC Berkeley Lab</v>
      </c>
      <c r="AF270" s="22"/>
    </row>
    <row r="271" spans="1:32" x14ac:dyDescent="0.2">
      <c r="A271" s="1">
        <v>415</v>
      </c>
      <c r="B271" s="13">
        <v>43732</v>
      </c>
      <c r="C271" s="1" t="s">
        <v>35</v>
      </c>
      <c r="D271" s="1" t="s">
        <v>4</v>
      </c>
      <c r="E271" s="1" t="s">
        <v>25</v>
      </c>
      <c r="F271" s="15">
        <v>0.64</v>
      </c>
      <c r="G271" s="15">
        <v>0</v>
      </c>
      <c r="H271" s="15">
        <v>4</v>
      </c>
      <c r="I271" s="15">
        <v>0.7</v>
      </c>
      <c r="J271" s="16">
        <v>0.36451</v>
      </c>
      <c r="K271" s="16">
        <v>1.1259300000000001</v>
      </c>
      <c r="L271" s="16">
        <f t="shared" si="16"/>
        <v>1.49044</v>
      </c>
      <c r="M271" s="17" t="s">
        <v>29</v>
      </c>
      <c r="N271" s="18">
        <v>100</v>
      </c>
      <c r="O271" s="18">
        <v>21</v>
      </c>
      <c r="P271" s="15">
        <v>0.2</v>
      </c>
      <c r="Q271" s="1" t="s">
        <v>2</v>
      </c>
      <c r="R271" s="20" t="str">
        <f t="shared" si="18"/>
        <v>horizontal</v>
      </c>
      <c r="S271" s="19">
        <v>0.2</v>
      </c>
      <c r="T271" s="19">
        <v>0</v>
      </c>
      <c r="U271" s="19">
        <v>0</v>
      </c>
      <c r="V271" s="20">
        <v>0</v>
      </c>
      <c r="W271" s="20">
        <v>-1</v>
      </c>
      <c r="Y271" s="18">
        <v>33</v>
      </c>
      <c r="Z271" s="15">
        <v>100.22753333333333</v>
      </c>
      <c r="AA271" s="16">
        <v>0.4</v>
      </c>
      <c r="AB271" s="16">
        <v>0.38200000000000001</v>
      </c>
      <c r="AC271" s="16">
        <f t="shared" si="17"/>
        <v>0.70844000000000007</v>
      </c>
      <c r="AD271" s="21">
        <v>0.95103738054396403</v>
      </c>
      <c r="AE271" s="22" t="str">
        <f t="shared" si="19"/>
        <v>UC Berkeley Lab</v>
      </c>
      <c r="AF271" s="22"/>
    </row>
    <row r="272" spans="1:32" x14ac:dyDescent="0.2">
      <c r="A272" s="1">
        <v>416</v>
      </c>
      <c r="B272" s="13">
        <v>43732</v>
      </c>
      <c r="C272" s="1" t="s">
        <v>35</v>
      </c>
      <c r="D272" s="1" t="s">
        <v>4</v>
      </c>
      <c r="E272" s="1" t="s">
        <v>25</v>
      </c>
      <c r="F272" s="15">
        <v>0.64</v>
      </c>
      <c r="G272" s="15">
        <v>0</v>
      </c>
      <c r="H272" s="15">
        <v>4</v>
      </c>
      <c r="I272" s="15">
        <v>0.7</v>
      </c>
      <c r="J272" s="16">
        <v>0.36364999999999997</v>
      </c>
      <c r="K272" s="16">
        <v>1.1317900000000001</v>
      </c>
      <c r="L272" s="16">
        <f t="shared" si="16"/>
        <v>1.4954400000000001</v>
      </c>
      <c r="M272" s="17" t="s">
        <v>29</v>
      </c>
      <c r="N272" s="18">
        <v>100</v>
      </c>
      <c r="O272" s="18">
        <v>21</v>
      </c>
      <c r="P272" s="15">
        <v>0.2</v>
      </c>
      <c r="Q272" s="1" t="s">
        <v>2</v>
      </c>
      <c r="R272" s="20" t="str">
        <f t="shared" si="18"/>
        <v>horizontal</v>
      </c>
      <c r="S272" s="19">
        <v>0.2</v>
      </c>
      <c r="T272" s="19">
        <v>0</v>
      </c>
      <c r="U272" s="19">
        <v>0</v>
      </c>
      <c r="V272" s="20">
        <v>0</v>
      </c>
      <c r="W272" s="20">
        <v>-1</v>
      </c>
      <c r="Y272" s="18">
        <v>33</v>
      </c>
      <c r="Z272" s="15">
        <v>100.25943333333333</v>
      </c>
      <c r="AA272" s="16">
        <v>0.42</v>
      </c>
      <c r="AB272" s="16">
        <v>0.38500000000000001</v>
      </c>
      <c r="AC272" s="16">
        <f t="shared" si="17"/>
        <v>0.69044000000000016</v>
      </c>
      <c r="AD272" s="21">
        <v>0.95613098038076605</v>
      </c>
      <c r="AE272" s="22" t="str">
        <f t="shared" si="19"/>
        <v>UC Berkeley Lab</v>
      </c>
      <c r="AF272" s="22"/>
    </row>
    <row r="273" spans="1:32" x14ac:dyDescent="0.2">
      <c r="A273" s="1">
        <v>417</v>
      </c>
      <c r="B273" s="13">
        <v>43732</v>
      </c>
      <c r="C273" s="1" t="s">
        <v>35</v>
      </c>
      <c r="D273" s="1" t="s">
        <v>4</v>
      </c>
      <c r="E273" s="1" t="s">
        <v>25</v>
      </c>
      <c r="F273" s="15">
        <v>0.64</v>
      </c>
      <c r="G273" s="15">
        <v>0</v>
      </c>
      <c r="H273" s="15">
        <v>4</v>
      </c>
      <c r="I273" s="15">
        <v>0.7</v>
      </c>
      <c r="J273" s="16">
        <v>0.36342000000000002</v>
      </c>
      <c r="K273" s="16">
        <v>1.13181</v>
      </c>
      <c r="L273" s="16">
        <f t="shared" si="16"/>
        <v>1.4952300000000001</v>
      </c>
      <c r="M273" s="17" t="s">
        <v>29</v>
      </c>
      <c r="N273" s="18">
        <v>100</v>
      </c>
      <c r="O273" s="18">
        <v>21</v>
      </c>
      <c r="P273" s="15">
        <v>0.2</v>
      </c>
      <c r="Q273" s="1" t="s">
        <v>2</v>
      </c>
      <c r="R273" s="20" t="str">
        <f t="shared" si="18"/>
        <v>horizontal</v>
      </c>
      <c r="S273" s="19">
        <v>0.2</v>
      </c>
      <c r="T273" s="19">
        <v>0</v>
      </c>
      <c r="U273" s="19">
        <v>0</v>
      </c>
      <c r="V273" s="20">
        <v>0</v>
      </c>
      <c r="W273" s="20">
        <v>-1</v>
      </c>
      <c r="Y273" s="18">
        <v>30</v>
      </c>
      <c r="Z273" s="15">
        <v>99.84426666666667</v>
      </c>
      <c r="AA273" s="16">
        <v>0.40600000000000003</v>
      </c>
      <c r="AB273" s="16">
        <v>0.38400000000000001</v>
      </c>
      <c r="AC273" s="16">
        <f t="shared" si="17"/>
        <v>0.70523000000000013</v>
      </c>
      <c r="AD273" s="21">
        <v>0.95969483724585603</v>
      </c>
      <c r="AE273" s="22" t="str">
        <f t="shared" si="19"/>
        <v>UC Berkeley Lab</v>
      </c>
      <c r="AF273" s="22"/>
    </row>
    <row r="274" spans="1:32" x14ac:dyDescent="0.2">
      <c r="A274" s="1">
        <v>418</v>
      </c>
      <c r="B274" s="13">
        <v>43732</v>
      </c>
      <c r="C274" s="1" t="s">
        <v>35</v>
      </c>
      <c r="D274" s="1" t="s">
        <v>4</v>
      </c>
      <c r="E274" s="1" t="s">
        <v>25</v>
      </c>
      <c r="F274" s="15">
        <v>0.64</v>
      </c>
      <c r="G274" s="15">
        <v>0</v>
      </c>
      <c r="H274" s="15">
        <v>4</v>
      </c>
      <c r="I274" s="15">
        <v>0.7</v>
      </c>
      <c r="J274" s="16">
        <v>0.36296</v>
      </c>
      <c r="K274" s="16">
        <v>1.1279399999999999</v>
      </c>
      <c r="L274" s="16">
        <f t="shared" si="16"/>
        <v>1.4908999999999999</v>
      </c>
      <c r="M274" s="17" t="s">
        <v>29</v>
      </c>
      <c r="N274" s="18">
        <v>100</v>
      </c>
      <c r="O274" s="18">
        <v>21</v>
      </c>
      <c r="P274" s="15">
        <v>0.2</v>
      </c>
      <c r="Q274" s="1" t="s">
        <v>2</v>
      </c>
      <c r="R274" s="20" t="str">
        <f t="shared" si="18"/>
        <v>horizontal</v>
      </c>
      <c r="S274" s="19">
        <v>0.2</v>
      </c>
      <c r="T274" s="19">
        <v>0</v>
      </c>
      <c r="U274" s="19">
        <v>0</v>
      </c>
      <c r="V274" s="20">
        <v>0</v>
      </c>
      <c r="W274" s="20">
        <v>-1</v>
      </c>
      <c r="Y274" s="18">
        <v>33</v>
      </c>
      <c r="Z274" s="15">
        <v>80.153666666666666</v>
      </c>
      <c r="AA274" s="16">
        <v>0.38500000000000001</v>
      </c>
      <c r="AB274" s="16">
        <v>0.38400000000000001</v>
      </c>
      <c r="AC274" s="16">
        <f t="shared" si="17"/>
        <v>0.72189999999999988</v>
      </c>
      <c r="AD274" s="21">
        <v>0.96688735793533398</v>
      </c>
      <c r="AE274" s="22" t="str">
        <f t="shared" si="19"/>
        <v>UC Berkeley Lab</v>
      </c>
      <c r="AF274" s="22"/>
    </row>
    <row r="275" spans="1:32" x14ac:dyDescent="0.2">
      <c r="A275" s="1">
        <v>419</v>
      </c>
      <c r="B275" s="13">
        <v>43732</v>
      </c>
      <c r="C275" s="1" t="s">
        <v>35</v>
      </c>
      <c r="D275" s="1" t="s">
        <v>4</v>
      </c>
      <c r="E275" s="1" t="s">
        <v>25</v>
      </c>
      <c r="F275" s="15">
        <v>0.64</v>
      </c>
      <c r="G275" s="15">
        <v>0</v>
      </c>
      <c r="H275" s="15">
        <v>4</v>
      </c>
      <c r="I275" s="15">
        <v>0.7</v>
      </c>
      <c r="J275" s="16">
        <v>0.36319000000000001</v>
      </c>
      <c r="K275" s="16">
        <v>1.1301099999999999</v>
      </c>
      <c r="L275" s="16">
        <f t="shared" si="16"/>
        <v>1.4933000000000001</v>
      </c>
      <c r="M275" s="17" t="s">
        <v>29</v>
      </c>
      <c r="N275" s="18">
        <v>100</v>
      </c>
      <c r="O275" s="18">
        <v>21</v>
      </c>
      <c r="P275" s="15">
        <v>0.2</v>
      </c>
      <c r="Q275" s="1" t="s">
        <v>2</v>
      </c>
      <c r="R275" s="20" t="str">
        <f t="shared" si="18"/>
        <v>horizontal</v>
      </c>
      <c r="S275" s="19">
        <v>0.2</v>
      </c>
      <c r="T275" s="19">
        <v>0</v>
      </c>
      <c r="U275" s="19">
        <v>0</v>
      </c>
      <c r="V275" s="20">
        <v>0</v>
      </c>
      <c r="W275" s="20">
        <v>-1</v>
      </c>
      <c r="Y275" s="18">
        <v>33</v>
      </c>
      <c r="Z275" s="15">
        <v>80.290223333333344</v>
      </c>
      <c r="AA275" s="16">
        <v>0.378</v>
      </c>
      <c r="AB275" s="16">
        <v>0.38600000000000001</v>
      </c>
      <c r="AC275" s="16">
        <f t="shared" si="17"/>
        <v>0.72929999999999995</v>
      </c>
      <c r="AD275" s="21">
        <v>0.95716977628301603</v>
      </c>
      <c r="AE275" s="22" t="str">
        <f t="shared" si="19"/>
        <v>UC Berkeley Lab</v>
      </c>
      <c r="AF275" s="22"/>
    </row>
    <row r="276" spans="1:32" x14ac:dyDescent="0.2">
      <c r="A276" s="1">
        <v>420</v>
      </c>
      <c r="B276" s="13">
        <v>43732</v>
      </c>
      <c r="C276" s="1" t="s">
        <v>35</v>
      </c>
      <c r="D276" s="1" t="s">
        <v>4</v>
      </c>
      <c r="E276" s="1" t="s">
        <v>25</v>
      </c>
      <c r="F276" s="15">
        <v>0.64</v>
      </c>
      <c r="G276" s="15">
        <v>0</v>
      </c>
      <c r="H276" s="15">
        <v>4</v>
      </c>
      <c r="I276" s="15">
        <v>0.7</v>
      </c>
      <c r="J276" s="16">
        <v>0.36599999999999999</v>
      </c>
      <c r="K276" s="16">
        <v>1.1279999999999999</v>
      </c>
      <c r="L276" s="16">
        <f t="shared" si="16"/>
        <v>1.4939999999999998</v>
      </c>
      <c r="M276" s="17" t="s">
        <v>29</v>
      </c>
      <c r="N276" s="18">
        <v>100</v>
      </c>
      <c r="O276" s="18">
        <v>21</v>
      </c>
      <c r="P276" s="15">
        <v>0.2</v>
      </c>
      <c r="Q276" s="1" t="s">
        <v>2</v>
      </c>
      <c r="R276" s="20" t="str">
        <f t="shared" si="18"/>
        <v>horizontal</v>
      </c>
      <c r="S276" s="19">
        <v>0.2</v>
      </c>
      <c r="T276" s="19">
        <v>0</v>
      </c>
      <c r="U276" s="19">
        <v>0</v>
      </c>
      <c r="V276" s="20">
        <v>0</v>
      </c>
      <c r="W276" s="20">
        <v>-1</v>
      </c>
      <c r="Y276" s="18">
        <v>33</v>
      </c>
      <c r="Z276" s="15">
        <v>80.082700000000003</v>
      </c>
      <c r="AA276" s="16">
        <v>0.374</v>
      </c>
      <c r="AB276" s="16">
        <v>0.38900000000000001</v>
      </c>
      <c r="AC276" s="16">
        <f t="shared" si="17"/>
        <v>0.73099999999999965</v>
      </c>
      <c r="AD276" s="21">
        <v>0.91114391543867801</v>
      </c>
      <c r="AE276" s="22" t="str">
        <f t="shared" si="19"/>
        <v>UC Berkeley Lab</v>
      </c>
      <c r="AF276" s="22"/>
    </row>
    <row r="277" spans="1:32" x14ac:dyDescent="0.2">
      <c r="A277" s="1">
        <v>421</v>
      </c>
      <c r="B277" s="13">
        <v>43732</v>
      </c>
      <c r="C277" s="1" t="s">
        <v>35</v>
      </c>
      <c r="D277" s="1" t="s">
        <v>4</v>
      </c>
      <c r="E277" s="1" t="s">
        <v>25</v>
      </c>
      <c r="F277" s="15">
        <v>0.64</v>
      </c>
      <c r="G277" s="15">
        <v>0</v>
      </c>
      <c r="H277" s="15">
        <v>4</v>
      </c>
      <c r="I277" s="15">
        <v>0.7</v>
      </c>
      <c r="J277" s="16">
        <v>0.36099999999999999</v>
      </c>
      <c r="K277" s="16">
        <v>1.131</v>
      </c>
      <c r="L277" s="16">
        <f t="shared" si="16"/>
        <v>1.492</v>
      </c>
      <c r="M277" s="17" t="s">
        <v>29</v>
      </c>
      <c r="N277" s="18">
        <v>100</v>
      </c>
      <c r="O277" s="18">
        <v>21</v>
      </c>
      <c r="P277" s="15">
        <v>0.2</v>
      </c>
      <c r="Q277" s="1" t="s">
        <v>2</v>
      </c>
      <c r="R277" s="20" t="str">
        <f t="shared" si="18"/>
        <v>horizontal</v>
      </c>
      <c r="S277" s="19">
        <v>0.2</v>
      </c>
      <c r="T277" s="19">
        <v>0</v>
      </c>
      <c r="U277" s="19">
        <v>0</v>
      </c>
      <c r="V277" s="20">
        <v>0</v>
      </c>
      <c r="W277" s="20">
        <v>-1</v>
      </c>
      <c r="Y277" s="18">
        <v>33</v>
      </c>
      <c r="Z277" s="15">
        <v>60.147166666666664</v>
      </c>
      <c r="AA277" s="16">
        <v>0.32400000000000001</v>
      </c>
      <c r="AB277" s="16">
        <v>0.38600000000000001</v>
      </c>
      <c r="AC277" s="16">
        <f t="shared" si="17"/>
        <v>0.78199999999999992</v>
      </c>
      <c r="AD277" s="21">
        <v>0.87540719718341797</v>
      </c>
      <c r="AE277" s="22" t="str">
        <f t="shared" si="19"/>
        <v>UC Berkeley Lab</v>
      </c>
      <c r="AF277" s="22"/>
    </row>
    <row r="278" spans="1:32" x14ac:dyDescent="0.2">
      <c r="A278" s="1">
        <v>422</v>
      </c>
      <c r="B278" s="13">
        <v>43732</v>
      </c>
      <c r="C278" s="1" t="s">
        <v>35</v>
      </c>
      <c r="D278" s="1" t="s">
        <v>4</v>
      </c>
      <c r="E278" s="1" t="s">
        <v>25</v>
      </c>
      <c r="F278" s="15">
        <v>0.64</v>
      </c>
      <c r="G278" s="15">
        <v>0</v>
      </c>
      <c r="H278" s="15">
        <v>4</v>
      </c>
      <c r="I278" s="15">
        <v>0.7</v>
      </c>
      <c r="J278" s="16">
        <v>0.36099999999999999</v>
      </c>
      <c r="K278" s="16">
        <v>1.1240000000000001</v>
      </c>
      <c r="L278" s="16">
        <f t="shared" si="16"/>
        <v>1.4850000000000001</v>
      </c>
      <c r="M278" s="17" t="s">
        <v>29</v>
      </c>
      <c r="N278" s="18">
        <v>100</v>
      </c>
      <c r="O278" s="18">
        <v>21</v>
      </c>
      <c r="P278" s="15">
        <v>0.2</v>
      </c>
      <c r="Q278" s="1" t="s">
        <v>2</v>
      </c>
      <c r="R278" s="20" t="str">
        <f t="shared" si="18"/>
        <v>horizontal</v>
      </c>
      <c r="S278" s="19">
        <v>0.2</v>
      </c>
      <c r="T278" s="19">
        <v>0</v>
      </c>
      <c r="U278" s="19">
        <v>0</v>
      </c>
      <c r="V278" s="20">
        <v>0</v>
      </c>
      <c r="W278" s="20">
        <v>-1</v>
      </c>
      <c r="Y278" s="18">
        <v>33</v>
      </c>
      <c r="Z278" s="15">
        <v>60.129433333333338</v>
      </c>
      <c r="AA278" s="16">
        <v>0.32500000000000001</v>
      </c>
      <c r="AB278" s="16">
        <v>0.38400000000000001</v>
      </c>
      <c r="AC278" s="16">
        <f t="shared" si="17"/>
        <v>0.77600000000000013</v>
      </c>
      <c r="AD278" s="21">
        <v>0.85231702955551303</v>
      </c>
      <c r="AE278" s="22" t="str">
        <f t="shared" si="19"/>
        <v>UC Berkeley Lab</v>
      </c>
      <c r="AF278" s="22"/>
    </row>
    <row r="279" spans="1:32" x14ac:dyDescent="0.2">
      <c r="A279" s="1">
        <v>423</v>
      </c>
      <c r="B279" s="13">
        <v>43732</v>
      </c>
      <c r="C279" s="1" t="s">
        <v>35</v>
      </c>
      <c r="D279" s="1" t="s">
        <v>4</v>
      </c>
      <c r="E279" s="1" t="s">
        <v>25</v>
      </c>
      <c r="F279" s="15">
        <v>0.64</v>
      </c>
      <c r="G279" s="15">
        <v>0</v>
      </c>
      <c r="H279" s="15">
        <v>4</v>
      </c>
      <c r="I279" s="15">
        <v>0.7</v>
      </c>
      <c r="J279" s="16">
        <v>0.36599999999999999</v>
      </c>
      <c r="K279" s="16">
        <v>1.127</v>
      </c>
      <c r="L279" s="16">
        <f t="shared" si="16"/>
        <v>1.4929999999999999</v>
      </c>
      <c r="M279" s="17" t="s">
        <v>29</v>
      </c>
      <c r="N279" s="18">
        <v>100</v>
      </c>
      <c r="O279" s="18">
        <v>21</v>
      </c>
      <c r="P279" s="15">
        <v>0.2</v>
      </c>
      <c r="Q279" s="1" t="s">
        <v>2</v>
      </c>
      <c r="R279" s="20" t="str">
        <f t="shared" si="18"/>
        <v>horizontal</v>
      </c>
      <c r="S279" s="19">
        <v>0.2</v>
      </c>
      <c r="T279" s="19">
        <v>0</v>
      </c>
      <c r="U279" s="19">
        <v>0</v>
      </c>
      <c r="V279" s="20">
        <v>0</v>
      </c>
      <c r="W279" s="20">
        <v>-1</v>
      </c>
      <c r="Y279" s="18">
        <v>35</v>
      </c>
      <c r="Z279" s="15">
        <v>60.095733333333328</v>
      </c>
      <c r="AA279" s="16">
        <v>0.313</v>
      </c>
      <c r="AB279" s="16">
        <v>0.38600000000000001</v>
      </c>
      <c r="AC279" s="16">
        <f t="shared" si="17"/>
        <v>0.79399999999999993</v>
      </c>
      <c r="AD279" s="21">
        <v>0.87206617226406402</v>
      </c>
      <c r="AE279" s="22" t="str">
        <f t="shared" si="19"/>
        <v>UC Berkeley Lab</v>
      </c>
      <c r="AF279" s="22"/>
    </row>
    <row r="280" spans="1:32" x14ac:dyDescent="0.2">
      <c r="A280" s="1">
        <v>424</v>
      </c>
      <c r="B280" s="13">
        <v>43732</v>
      </c>
      <c r="C280" s="1" t="s">
        <v>35</v>
      </c>
      <c r="D280" s="1" t="s">
        <v>4</v>
      </c>
      <c r="E280" s="1" t="s">
        <v>25</v>
      </c>
      <c r="F280" s="15">
        <v>0.64</v>
      </c>
      <c r="G280" s="15">
        <v>0</v>
      </c>
      <c r="H280" s="15">
        <v>4</v>
      </c>
      <c r="I280" s="15">
        <v>0.7</v>
      </c>
      <c r="J280" s="16">
        <v>0.36480000000000001</v>
      </c>
      <c r="K280" s="16">
        <v>1.1279999999999999</v>
      </c>
      <c r="L280" s="16">
        <f t="shared" si="16"/>
        <v>1.4927999999999999</v>
      </c>
      <c r="M280" s="17" t="s">
        <v>29</v>
      </c>
      <c r="N280" s="18">
        <v>100</v>
      </c>
      <c r="O280" s="18">
        <v>21</v>
      </c>
      <c r="P280" s="15">
        <v>0.2</v>
      </c>
      <c r="Q280" s="1" t="s">
        <v>2</v>
      </c>
      <c r="R280" s="20" t="str">
        <f t="shared" si="18"/>
        <v>horizontal</v>
      </c>
      <c r="S280" s="19">
        <v>0.2</v>
      </c>
      <c r="T280" s="19">
        <v>0</v>
      </c>
      <c r="U280" s="19">
        <v>0</v>
      </c>
      <c r="V280" s="20">
        <v>0</v>
      </c>
      <c r="W280" s="20">
        <v>-1</v>
      </c>
      <c r="Y280" s="18">
        <v>30</v>
      </c>
      <c r="Z280" s="15">
        <v>100.09833333333334</v>
      </c>
      <c r="AA280" s="16">
        <v>0.43</v>
      </c>
      <c r="AB280" s="16">
        <v>0.38500000000000001</v>
      </c>
      <c r="AC280" s="16">
        <f t="shared" si="17"/>
        <v>0.67779999999999996</v>
      </c>
      <c r="AD280" s="21">
        <v>0.96532871060133796</v>
      </c>
      <c r="AE280" s="22" t="str">
        <f t="shared" si="19"/>
        <v>UC Berkeley Lab</v>
      </c>
      <c r="AF280" s="22"/>
    </row>
    <row r="281" spans="1:32" x14ac:dyDescent="0.2">
      <c r="A281" s="1">
        <v>425</v>
      </c>
      <c r="B281" s="13">
        <v>43732</v>
      </c>
      <c r="C281" s="1" t="s">
        <v>35</v>
      </c>
      <c r="D281" s="1" t="s">
        <v>4</v>
      </c>
      <c r="E281" s="1" t="s">
        <v>25</v>
      </c>
      <c r="F281" s="15">
        <v>0.64</v>
      </c>
      <c r="G281" s="15">
        <v>0</v>
      </c>
      <c r="H281" s="15">
        <v>4</v>
      </c>
      <c r="I281" s="15">
        <v>0.7</v>
      </c>
      <c r="J281" s="16">
        <v>0.3649</v>
      </c>
      <c r="K281" s="16">
        <v>1.127</v>
      </c>
      <c r="L281" s="16">
        <f t="shared" si="16"/>
        <v>1.4919</v>
      </c>
      <c r="M281" s="17" t="s">
        <v>29</v>
      </c>
      <c r="N281" s="18">
        <v>100</v>
      </c>
      <c r="O281" s="18">
        <v>21</v>
      </c>
      <c r="P281" s="15">
        <v>0.2</v>
      </c>
      <c r="Q281" s="1" t="s">
        <v>2</v>
      </c>
      <c r="R281" s="20" t="str">
        <f t="shared" si="18"/>
        <v>horizontal</v>
      </c>
      <c r="S281" s="19">
        <v>0.2</v>
      </c>
      <c r="T281" s="19">
        <v>0</v>
      </c>
      <c r="U281" s="19">
        <v>0</v>
      </c>
      <c r="V281" s="20">
        <v>0</v>
      </c>
      <c r="W281" s="20">
        <v>-1</v>
      </c>
      <c r="Y281" s="18">
        <v>30</v>
      </c>
      <c r="Z281" s="15">
        <v>100.48266666666666</v>
      </c>
      <c r="AA281" s="16">
        <v>0.44400000000000001</v>
      </c>
      <c r="AB281" s="16">
        <v>0.39700000000000002</v>
      </c>
      <c r="AC281" s="16">
        <f t="shared" si="17"/>
        <v>0.65090000000000003</v>
      </c>
      <c r="AD281" s="21">
        <v>0.91731016981050295</v>
      </c>
      <c r="AE281" s="22" t="str">
        <f t="shared" si="19"/>
        <v>UC Berkeley Lab</v>
      </c>
      <c r="AF281" s="22"/>
    </row>
    <row r="282" spans="1:32" x14ac:dyDescent="0.2">
      <c r="A282" s="1">
        <v>426</v>
      </c>
      <c r="B282" s="13">
        <v>43732</v>
      </c>
      <c r="C282" s="1" t="s">
        <v>35</v>
      </c>
      <c r="D282" s="1" t="s">
        <v>4</v>
      </c>
      <c r="E282" s="1" t="s">
        <v>25</v>
      </c>
      <c r="F282" s="15">
        <v>0.64</v>
      </c>
      <c r="G282" s="15">
        <v>0</v>
      </c>
      <c r="H282" s="15">
        <v>4</v>
      </c>
      <c r="I282" s="15">
        <v>0.7</v>
      </c>
      <c r="J282" s="16">
        <v>0.36470000000000002</v>
      </c>
      <c r="K282" s="16">
        <v>1.137</v>
      </c>
      <c r="L282" s="16">
        <f t="shared" si="16"/>
        <v>1.5017</v>
      </c>
      <c r="M282" s="17" t="s">
        <v>29</v>
      </c>
      <c r="N282" s="18">
        <v>100</v>
      </c>
      <c r="O282" s="18">
        <v>21</v>
      </c>
      <c r="P282" s="15">
        <v>0.2</v>
      </c>
      <c r="Q282" s="1" t="s">
        <v>2</v>
      </c>
      <c r="R282" s="20" t="str">
        <f t="shared" si="18"/>
        <v>horizontal</v>
      </c>
      <c r="S282" s="19">
        <v>0.2</v>
      </c>
      <c r="T282" s="19">
        <v>0</v>
      </c>
      <c r="U282" s="19">
        <v>0</v>
      </c>
      <c r="V282" s="20">
        <v>0</v>
      </c>
      <c r="W282" s="20">
        <v>-1</v>
      </c>
      <c r="Y282" s="18">
        <v>30</v>
      </c>
      <c r="Z282" s="15">
        <v>100.11933333333333</v>
      </c>
      <c r="AA282" s="16">
        <v>0.435</v>
      </c>
      <c r="AB282" s="16">
        <v>0.38600000000000001</v>
      </c>
      <c r="AC282" s="16">
        <f t="shared" si="17"/>
        <v>0.68069999999999997</v>
      </c>
      <c r="AD282" s="21">
        <v>0.94922456719332404</v>
      </c>
      <c r="AE282" s="22" t="str">
        <f t="shared" si="19"/>
        <v>UC Berkeley Lab</v>
      </c>
      <c r="AF282" s="22"/>
    </row>
    <row r="283" spans="1:32" x14ac:dyDescent="0.2">
      <c r="A283" s="1">
        <v>427</v>
      </c>
      <c r="B283" s="13">
        <v>43732</v>
      </c>
      <c r="C283" s="1" t="s">
        <v>35</v>
      </c>
      <c r="D283" s="1" t="s">
        <v>4</v>
      </c>
      <c r="E283" s="1" t="s">
        <v>25</v>
      </c>
      <c r="F283" s="15">
        <v>0.64</v>
      </c>
      <c r="G283" s="15">
        <v>0</v>
      </c>
      <c r="H283" s="15">
        <v>4</v>
      </c>
      <c r="I283" s="15">
        <v>0.7</v>
      </c>
      <c r="J283" s="16">
        <v>0.36609999999999998</v>
      </c>
      <c r="K283" s="16">
        <v>1.1339999999999999</v>
      </c>
      <c r="L283" s="16">
        <f t="shared" si="16"/>
        <v>1.5000999999999998</v>
      </c>
      <c r="M283" s="17" t="s">
        <v>29</v>
      </c>
      <c r="N283" s="18">
        <v>100</v>
      </c>
      <c r="O283" s="18">
        <v>21</v>
      </c>
      <c r="P283" s="15">
        <v>0.2</v>
      </c>
      <c r="Q283" s="1" t="s">
        <v>2</v>
      </c>
      <c r="R283" s="20" t="str">
        <f t="shared" si="18"/>
        <v>horizontal</v>
      </c>
      <c r="S283" s="19">
        <v>0.2</v>
      </c>
      <c r="T283" s="19">
        <v>0</v>
      </c>
      <c r="U283" s="19">
        <v>0</v>
      </c>
      <c r="V283" s="20">
        <v>0</v>
      </c>
      <c r="W283" s="20">
        <v>-1</v>
      </c>
      <c r="Y283" s="18">
        <v>30</v>
      </c>
      <c r="Z283" s="15">
        <v>80.389533333333333</v>
      </c>
      <c r="AA283" s="16">
        <v>0.39</v>
      </c>
      <c r="AB283" s="16">
        <v>0.38500000000000001</v>
      </c>
      <c r="AC283" s="16">
        <f t="shared" si="17"/>
        <v>0.72509999999999963</v>
      </c>
      <c r="AD283" s="21">
        <v>0.92235269978522605</v>
      </c>
      <c r="AE283" s="22" t="str">
        <f t="shared" si="19"/>
        <v>UC Berkeley Lab</v>
      </c>
      <c r="AF283" s="22"/>
    </row>
    <row r="284" spans="1:32" x14ac:dyDescent="0.2">
      <c r="A284" s="1">
        <v>428</v>
      </c>
      <c r="B284" s="13">
        <v>43732</v>
      </c>
      <c r="C284" s="1" t="s">
        <v>35</v>
      </c>
      <c r="D284" s="1" t="s">
        <v>4</v>
      </c>
      <c r="E284" s="1" t="s">
        <v>25</v>
      </c>
      <c r="F284" s="15">
        <v>0.64</v>
      </c>
      <c r="G284" s="15">
        <v>0</v>
      </c>
      <c r="H284" s="15">
        <v>4</v>
      </c>
      <c r="I284" s="15">
        <v>0.7</v>
      </c>
      <c r="J284" s="16">
        <v>0.36470000000000002</v>
      </c>
      <c r="K284" s="16">
        <v>1.131</v>
      </c>
      <c r="L284" s="16">
        <f t="shared" si="16"/>
        <v>1.4957</v>
      </c>
      <c r="M284" s="17" t="s">
        <v>29</v>
      </c>
      <c r="N284" s="18">
        <v>100</v>
      </c>
      <c r="O284" s="18">
        <v>21</v>
      </c>
      <c r="P284" s="15">
        <v>0.2</v>
      </c>
      <c r="Q284" s="1" t="s">
        <v>2</v>
      </c>
      <c r="R284" s="20" t="str">
        <f t="shared" si="18"/>
        <v>horizontal</v>
      </c>
      <c r="S284" s="19">
        <v>0.2</v>
      </c>
      <c r="T284" s="19">
        <v>0</v>
      </c>
      <c r="U284" s="19">
        <v>0</v>
      </c>
      <c r="V284" s="20">
        <v>0</v>
      </c>
      <c r="W284" s="20">
        <v>-1</v>
      </c>
      <c r="Y284" s="18">
        <v>30</v>
      </c>
      <c r="Z284" s="15">
        <v>80.137666666666675</v>
      </c>
      <c r="AA284" s="16">
        <v>0.36399999999999999</v>
      </c>
      <c r="AB284" s="16">
        <v>0.38300000000000001</v>
      </c>
      <c r="AC284" s="16">
        <f t="shared" si="17"/>
        <v>0.74869999999999992</v>
      </c>
      <c r="AD284" s="21">
        <v>0.90235974994945201</v>
      </c>
      <c r="AE284" s="22" t="str">
        <f t="shared" si="19"/>
        <v>UC Berkeley Lab</v>
      </c>
      <c r="AF284" s="22"/>
    </row>
    <row r="285" spans="1:32" x14ac:dyDescent="0.2">
      <c r="A285" s="1">
        <v>429</v>
      </c>
      <c r="B285" s="13">
        <v>43732</v>
      </c>
      <c r="C285" s="1" t="s">
        <v>35</v>
      </c>
      <c r="D285" s="1" t="s">
        <v>4</v>
      </c>
      <c r="E285" s="1" t="s">
        <v>25</v>
      </c>
      <c r="F285" s="15">
        <v>0.64</v>
      </c>
      <c r="G285" s="15">
        <v>0</v>
      </c>
      <c r="H285" s="15">
        <v>4</v>
      </c>
      <c r="I285" s="15">
        <v>0.7</v>
      </c>
      <c r="J285" s="16">
        <v>0.3654</v>
      </c>
      <c r="K285" s="16">
        <v>1.1279999999999999</v>
      </c>
      <c r="L285" s="16">
        <f t="shared" si="16"/>
        <v>1.4933999999999998</v>
      </c>
      <c r="M285" s="17" t="s">
        <v>29</v>
      </c>
      <c r="N285" s="18">
        <v>100</v>
      </c>
      <c r="O285" s="18">
        <v>21</v>
      </c>
      <c r="P285" s="15">
        <v>0.2</v>
      </c>
      <c r="Q285" s="1" t="s">
        <v>2</v>
      </c>
      <c r="R285" s="20" t="str">
        <f t="shared" si="18"/>
        <v>horizontal</v>
      </c>
      <c r="S285" s="19">
        <v>0.2</v>
      </c>
      <c r="T285" s="19">
        <v>0</v>
      </c>
      <c r="U285" s="19">
        <v>0</v>
      </c>
      <c r="V285" s="20">
        <v>0</v>
      </c>
      <c r="W285" s="20">
        <v>-1</v>
      </c>
      <c r="Y285" s="18">
        <v>30</v>
      </c>
      <c r="Z285" s="15">
        <v>80.192633333333333</v>
      </c>
      <c r="AB285" s="16">
        <v>0.38900000000000001</v>
      </c>
      <c r="AC285" s="16">
        <f t="shared" si="17"/>
        <v>1.1043999999999998</v>
      </c>
      <c r="AD285" s="21">
        <v>0.91085137045249198</v>
      </c>
      <c r="AE285" s="22" t="str">
        <f t="shared" si="19"/>
        <v>UC Berkeley Lab</v>
      </c>
      <c r="AF285" s="22" t="s">
        <v>52</v>
      </c>
    </row>
    <row r="286" spans="1:32" x14ac:dyDescent="0.2">
      <c r="A286" s="1">
        <v>430</v>
      </c>
      <c r="B286" s="13">
        <v>43732</v>
      </c>
      <c r="C286" s="1" t="s">
        <v>35</v>
      </c>
      <c r="D286" s="1" t="s">
        <v>4</v>
      </c>
      <c r="E286" s="1" t="s">
        <v>25</v>
      </c>
      <c r="F286" s="15">
        <v>0.64</v>
      </c>
      <c r="G286" s="15">
        <v>0</v>
      </c>
      <c r="H286" s="15">
        <v>4</v>
      </c>
      <c r="I286" s="15">
        <v>0.7</v>
      </c>
      <c r="J286" s="16">
        <v>0.3644</v>
      </c>
      <c r="K286" s="16">
        <v>1.1399999999999999</v>
      </c>
      <c r="L286" s="16">
        <f t="shared" si="16"/>
        <v>1.5044</v>
      </c>
      <c r="M286" s="17" t="s">
        <v>29</v>
      </c>
      <c r="N286" s="18">
        <v>100</v>
      </c>
      <c r="O286" s="18">
        <v>21</v>
      </c>
      <c r="P286" s="15">
        <v>0.2</v>
      </c>
      <c r="Q286" s="1" t="s">
        <v>2</v>
      </c>
      <c r="R286" s="20" t="str">
        <f t="shared" si="18"/>
        <v>horizontal</v>
      </c>
      <c r="S286" s="19">
        <v>0.2</v>
      </c>
      <c r="T286" s="19">
        <v>0</v>
      </c>
      <c r="U286" s="19">
        <v>0</v>
      </c>
      <c r="V286" s="20">
        <v>0</v>
      </c>
      <c r="W286" s="20">
        <v>-1</v>
      </c>
      <c r="Y286" s="18">
        <v>30</v>
      </c>
      <c r="Z286" s="15">
        <v>60.285500000000006</v>
      </c>
      <c r="AA286" s="16">
        <v>0.6</v>
      </c>
      <c r="AB286" s="16">
        <v>0.38800000000000001</v>
      </c>
      <c r="AC286" s="16">
        <f t="shared" si="17"/>
        <v>0.51639999999999997</v>
      </c>
      <c r="AD286" s="21">
        <v>0.83448788876240698</v>
      </c>
      <c r="AE286" s="22" t="str">
        <f t="shared" si="19"/>
        <v>UC Berkeley Lab</v>
      </c>
      <c r="AF286" s="22" t="s">
        <v>53</v>
      </c>
    </row>
    <row r="287" spans="1:32" x14ac:dyDescent="0.2">
      <c r="A287" s="1">
        <v>431</v>
      </c>
      <c r="B287" s="13">
        <v>43732</v>
      </c>
      <c r="C287" s="1" t="s">
        <v>35</v>
      </c>
      <c r="D287" s="1" t="s">
        <v>4</v>
      </c>
      <c r="E287" s="1" t="s">
        <v>25</v>
      </c>
      <c r="F287" s="15">
        <v>0.64</v>
      </c>
      <c r="G287" s="15">
        <v>0</v>
      </c>
      <c r="H287" s="15">
        <v>4</v>
      </c>
      <c r="I287" s="15">
        <v>0.7</v>
      </c>
      <c r="J287" s="16">
        <v>0.36580000000000001</v>
      </c>
      <c r="K287" s="16">
        <v>1.1319999999999999</v>
      </c>
      <c r="L287" s="16">
        <f t="shared" si="16"/>
        <v>1.4977999999999998</v>
      </c>
      <c r="M287" s="17" t="s">
        <v>29</v>
      </c>
      <c r="N287" s="18">
        <v>100</v>
      </c>
      <c r="O287" s="18">
        <v>21</v>
      </c>
      <c r="P287" s="15">
        <v>0.2</v>
      </c>
      <c r="Q287" s="1" t="s">
        <v>2</v>
      </c>
      <c r="R287" s="20" t="str">
        <f t="shared" si="18"/>
        <v>horizontal</v>
      </c>
      <c r="S287" s="19">
        <v>0.2</v>
      </c>
      <c r="T287" s="19">
        <v>0</v>
      </c>
      <c r="U287" s="19">
        <v>0</v>
      </c>
      <c r="V287" s="20">
        <v>0</v>
      </c>
      <c r="W287" s="20">
        <v>-1</v>
      </c>
      <c r="Y287" s="18">
        <v>30</v>
      </c>
      <c r="Z287" s="15">
        <v>60.017666666666663</v>
      </c>
      <c r="AA287" s="16">
        <v>0.317</v>
      </c>
      <c r="AB287" s="16">
        <v>0.39</v>
      </c>
      <c r="AC287" s="16">
        <f t="shared" si="17"/>
        <v>0.79079999999999984</v>
      </c>
      <c r="AD287" s="21">
        <v>0.85880323798914104</v>
      </c>
      <c r="AE287" s="22" t="str">
        <f t="shared" si="19"/>
        <v>UC Berkeley Lab</v>
      </c>
      <c r="AF287" s="22"/>
    </row>
    <row r="288" spans="1:32" x14ac:dyDescent="0.2">
      <c r="A288" s="1">
        <v>432</v>
      </c>
      <c r="B288" s="13">
        <v>43732</v>
      </c>
      <c r="C288" s="1" t="s">
        <v>35</v>
      </c>
      <c r="D288" s="1" t="s">
        <v>4</v>
      </c>
      <c r="E288" s="1" t="s">
        <v>25</v>
      </c>
      <c r="F288" s="15">
        <v>0.64</v>
      </c>
      <c r="G288" s="15">
        <v>0</v>
      </c>
      <c r="H288" s="15">
        <v>4</v>
      </c>
      <c r="I288" s="15">
        <v>0.7</v>
      </c>
      <c r="J288" s="16">
        <v>0.36520000000000002</v>
      </c>
      <c r="K288" s="16">
        <v>1.1240000000000001</v>
      </c>
      <c r="L288" s="16">
        <f t="shared" si="16"/>
        <v>1.4892000000000001</v>
      </c>
      <c r="M288" s="17" t="s">
        <v>29</v>
      </c>
      <c r="N288" s="18">
        <v>100</v>
      </c>
      <c r="O288" s="18">
        <v>21</v>
      </c>
      <c r="P288" s="15">
        <v>0.2</v>
      </c>
      <c r="Q288" s="1" t="s">
        <v>2</v>
      </c>
      <c r="R288" s="20" t="str">
        <f t="shared" si="18"/>
        <v>horizontal</v>
      </c>
      <c r="S288" s="19">
        <v>0.2</v>
      </c>
      <c r="T288" s="19">
        <v>0</v>
      </c>
      <c r="U288" s="19">
        <v>0</v>
      </c>
      <c r="V288" s="20">
        <v>0</v>
      </c>
      <c r="W288" s="20">
        <v>-1</v>
      </c>
      <c r="Y288" s="18">
        <v>30</v>
      </c>
      <c r="Z288" s="15">
        <v>60.16490000000001</v>
      </c>
      <c r="AA288" s="16">
        <v>0.311</v>
      </c>
      <c r="AB288" s="16">
        <v>0.38200000000000001</v>
      </c>
      <c r="AC288" s="16">
        <f t="shared" si="17"/>
        <v>0.79620000000000013</v>
      </c>
      <c r="AD288" s="21">
        <v>0.85997037987354696</v>
      </c>
      <c r="AE288" s="22" t="str">
        <f t="shared" si="19"/>
        <v>UC Berkeley Lab</v>
      </c>
      <c r="AF288" s="22"/>
    </row>
    <row r="289" spans="1:32" x14ac:dyDescent="0.2">
      <c r="A289" s="1">
        <v>434</v>
      </c>
      <c r="B289" s="13">
        <v>43732</v>
      </c>
      <c r="C289" s="1" t="s">
        <v>35</v>
      </c>
      <c r="D289" s="1" t="s">
        <v>4</v>
      </c>
      <c r="E289" s="1" t="s">
        <v>25</v>
      </c>
      <c r="F289" s="15">
        <v>2.5</v>
      </c>
      <c r="G289" s="15">
        <v>0</v>
      </c>
      <c r="H289" s="15">
        <v>4</v>
      </c>
      <c r="I289" s="15">
        <v>2.5</v>
      </c>
      <c r="J289" s="16">
        <v>5.4409999999999998</v>
      </c>
      <c r="K289" s="16">
        <v>0.69799999999999995</v>
      </c>
      <c r="L289" s="16">
        <f t="shared" ref="L289:L313" si="20">SUM(J289:K289)</f>
        <v>6.1389999999999993</v>
      </c>
      <c r="M289" s="17" t="s">
        <v>29</v>
      </c>
      <c r="N289" s="18">
        <v>100</v>
      </c>
      <c r="O289" s="18">
        <v>21</v>
      </c>
      <c r="P289" s="15">
        <v>0.17</v>
      </c>
      <c r="Q289" s="1" t="s">
        <v>54</v>
      </c>
      <c r="R289" s="20" t="str">
        <f t="shared" si="18"/>
        <v>horizontal</v>
      </c>
      <c r="S289" s="19">
        <v>-0.17</v>
      </c>
      <c r="T289" s="19">
        <v>0</v>
      </c>
      <c r="U289" s="19">
        <v>0</v>
      </c>
      <c r="V289" s="20">
        <v>0</v>
      </c>
      <c r="W289" s="20">
        <v>-1</v>
      </c>
      <c r="Y289" s="18">
        <v>60</v>
      </c>
      <c r="Z289" s="15">
        <v>100.0342</v>
      </c>
      <c r="AA289" s="16">
        <v>0.378</v>
      </c>
      <c r="AB289" s="16">
        <v>5.4480000000000004</v>
      </c>
      <c r="AC289" s="16">
        <f t="shared" si="17"/>
        <v>0.31299999999999883</v>
      </c>
      <c r="AD289" s="21">
        <v>0.93774965083950401</v>
      </c>
      <c r="AE289" s="22" t="str">
        <f t="shared" si="19"/>
        <v>UC Berkeley Lab</v>
      </c>
      <c r="AF289" s="22" t="s">
        <v>48</v>
      </c>
    </row>
    <row r="290" spans="1:32" x14ac:dyDescent="0.2">
      <c r="A290" s="1">
        <v>435</v>
      </c>
      <c r="B290" s="13">
        <v>43732</v>
      </c>
      <c r="C290" s="1" t="s">
        <v>35</v>
      </c>
      <c r="D290" s="1" t="s">
        <v>4</v>
      </c>
      <c r="E290" s="1" t="s">
        <v>25</v>
      </c>
      <c r="F290" s="15">
        <v>2.5</v>
      </c>
      <c r="G290" s="15">
        <v>0</v>
      </c>
      <c r="H290" s="15">
        <v>4</v>
      </c>
      <c r="I290" s="15">
        <v>2.5</v>
      </c>
      <c r="J290" s="16">
        <v>5.4059999999999997</v>
      </c>
      <c r="K290" s="16">
        <v>0.69499999999999995</v>
      </c>
      <c r="L290" s="16">
        <f t="shared" si="20"/>
        <v>6.101</v>
      </c>
      <c r="M290" s="17" t="s">
        <v>29</v>
      </c>
      <c r="N290" s="18">
        <v>100</v>
      </c>
      <c r="O290" s="18">
        <v>21</v>
      </c>
      <c r="P290" s="15">
        <v>0.17</v>
      </c>
      <c r="Q290" s="1" t="s">
        <v>54</v>
      </c>
      <c r="R290" s="20" t="str">
        <f t="shared" si="18"/>
        <v>horizontal</v>
      </c>
      <c r="S290" s="19">
        <v>-0.17</v>
      </c>
      <c r="T290" s="19">
        <v>0</v>
      </c>
      <c r="U290" s="19">
        <v>0</v>
      </c>
      <c r="V290" s="20">
        <v>0</v>
      </c>
      <c r="W290" s="20">
        <v>-1</v>
      </c>
      <c r="Y290" s="18">
        <v>105</v>
      </c>
      <c r="Z290" s="15">
        <v>100.12643333333334</v>
      </c>
      <c r="AA290" s="16">
        <v>0.36099999999999999</v>
      </c>
      <c r="AB290" s="16">
        <v>5.4119999999999999</v>
      </c>
      <c r="AC290" s="16">
        <f t="shared" si="17"/>
        <v>0.32800000000000029</v>
      </c>
      <c r="AD290" s="21">
        <v>1.1819071212291601</v>
      </c>
      <c r="AE290" s="22" t="str">
        <f t="shared" si="19"/>
        <v>UC Berkeley Lab</v>
      </c>
      <c r="AF290" s="22" t="s">
        <v>49</v>
      </c>
    </row>
    <row r="291" spans="1:32" x14ac:dyDescent="0.2">
      <c r="A291" s="1">
        <v>436</v>
      </c>
      <c r="B291" s="13">
        <v>43732</v>
      </c>
      <c r="C291" s="1" t="s">
        <v>35</v>
      </c>
      <c r="D291" s="1" t="s">
        <v>4</v>
      </c>
      <c r="E291" s="1" t="s">
        <v>25</v>
      </c>
      <c r="F291" s="15">
        <v>2.5</v>
      </c>
      <c r="G291" s="15">
        <v>0</v>
      </c>
      <c r="H291" s="15">
        <v>4</v>
      </c>
      <c r="I291" s="15">
        <v>2.5</v>
      </c>
      <c r="J291" s="16">
        <v>5.4370000000000003</v>
      </c>
      <c r="K291" s="16">
        <v>0.69499999999999995</v>
      </c>
      <c r="L291" s="16">
        <f t="shared" si="20"/>
        <v>6.1320000000000006</v>
      </c>
      <c r="M291" s="17" t="s">
        <v>29</v>
      </c>
      <c r="N291" s="18">
        <v>100</v>
      </c>
      <c r="O291" s="18">
        <v>21</v>
      </c>
      <c r="P291" s="15">
        <v>0.17</v>
      </c>
      <c r="Q291" s="1" t="s">
        <v>54</v>
      </c>
      <c r="R291" s="20" t="str">
        <f t="shared" si="18"/>
        <v>horizontal</v>
      </c>
      <c r="S291" s="19">
        <v>-0.17</v>
      </c>
      <c r="T291" s="19">
        <v>0</v>
      </c>
      <c r="U291" s="19">
        <v>0</v>
      </c>
      <c r="V291" s="20">
        <v>0</v>
      </c>
      <c r="W291" s="20">
        <v>-1</v>
      </c>
      <c r="Y291" s="18">
        <v>23</v>
      </c>
      <c r="Z291" s="15">
        <v>100.40483333333333</v>
      </c>
      <c r="AA291" s="16">
        <v>0.25600000000000001</v>
      </c>
      <c r="AB291" s="16">
        <v>5.7409999999999997</v>
      </c>
      <c r="AC291" s="16">
        <f t="shared" si="17"/>
        <v>0.13500000000000068</v>
      </c>
      <c r="AD291" s="21">
        <v>0.67388486798429104</v>
      </c>
      <c r="AE291" s="22" t="str">
        <f t="shared" si="19"/>
        <v>UC Berkeley Lab</v>
      </c>
      <c r="AF291" s="22" t="s">
        <v>47</v>
      </c>
    </row>
    <row r="292" spans="1:32" x14ac:dyDescent="0.2">
      <c r="A292" s="1">
        <v>437</v>
      </c>
      <c r="B292" s="13">
        <v>43732</v>
      </c>
      <c r="C292" s="1" t="s">
        <v>35</v>
      </c>
      <c r="D292" s="1" t="s">
        <v>4</v>
      </c>
      <c r="E292" s="1" t="s">
        <v>25</v>
      </c>
      <c r="F292" s="15">
        <v>2.5</v>
      </c>
      <c r="G292" s="15">
        <v>0</v>
      </c>
      <c r="H292" s="15">
        <v>4</v>
      </c>
      <c r="I292" s="15">
        <v>2.5</v>
      </c>
      <c r="J292" s="16">
        <v>5.4279999999999999</v>
      </c>
      <c r="K292" s="16">
        <v>0.69599999999999995</v>
      </c>
      <c r="L292" s="16">
        <f t="shared" si="20"/>
        <v>6.1239999999999997</v>
      </c>
      <c r="M292" s="17" t="s">
        <v>29</v>
      </c>
      <c r="N292" s="18">
        <v>100</v>
      </c>
      <c r="O292" s="18">
        <v>21</v>
      </c>
      <c r="P292" s="15">
        <v>0.17</v>
      </c>
      <c r="Q292" s="1" t="s">
        <v>54</v>
      </c>
      <c r="R292" s="20" t="str">
        <f t="shared" si="18"/>
        <v>horizontal</v>
      </c>
      <c r="S292" s="19">
        <v>-0.17</v>
      </c>
      <c r="T292" s="19">
        <v>0</v>
      </c>
      <c r="U292" s="19">
        <v>0</v>
      </c>
      <c r="V292" s="20">
        <v>0</v>
      </c>
      <c r="W292" s="20">
        <v>-1</v>
      </c>
      <c r="Y292" s="18">
        <v>23</v>
      </c>
      <c r="Z292" s="15">
        <v>100.24536666666667</v>
      </c>
      <c r="AA292" s="16">
        <v>0.38600000000000001</v>
      </c>
      <c r="AB292" s="16">
        <v>5.4320000000000004</v>
      </c>
      <c r="AC292" s="16">
        <f t="shared" si="17"/>
        <v>0.30599999999999916</v>
      </c>
      <c r="AD292" s="21">
        <v>0.82275570291788602</v>
      </c>
      <c r="AE292" s="22" t="str">
        <f t="shared" si="19"/>
        <v>UC Berkeley Lab</v>
      </c>
      <c r="AF292" s="22" t="s">
        <v>47</v>
      </c>
    </row>
    <row r="293" spans="1:32" x14ac:dyDescent="0.2">
      <c r="A293" s="1">
        <v>438</v>
      </c>
      <c r="B293" s="13">
        <v>43732</v>
      </c>
      <c r="C293" s="1" t="s">
        <v>35</v>
      </c>
      <c r="D293" s="1" t="s">
        <v>4</v>
      </c>
      <c r="E293" s="1" t="s">
        <v>25</v>
      </c>
      <c r="F293" s="15">
        <v>2.5</v>
      </c>
      <c r="G293" s="15">
        <v>0</v>
      </c>
      <c r="H293" s="15">
        <v>4</v>
      </c>
      <c r="I293" s="15">
        <v>2.5</v>
      </c>
      <c r="J293" s="16">
        <v>5.4249999999999998</v>
      </c>
      <c r="K293" s="16">
        <v>0.69799999999999995</v>
      </c>
      <c r="L293" s="16">
        <f t="shared" si="20"/>
        <v>6.1229999999999993</v>
      </c>
      <c r="M293" s="17" t="s">
        <v>29</v>
      </c>
      <c r="N293" s="18">
        <v>100</v>
      </c>
      <c r="O293" s="18">
        <v>21</v>
      </c>
      <c r="P293" s="15">
        <v>0.17</v>
      </c>
      <c r="Q293" s="1" t="s">
        <v>54</v>
      </c>
      <c r="R293" s="20" t="str">
        <f t="shared" si="18"/>
        <v>horizontal</v>
      </c>
      <c r="S293" s="19">
        <v>-0.17</v>
      </c>
      <c r="T293" s="19">
        <v>0</v>
      </c>
      <c r="U293" s="19">
        <v>0</v>
      </c>
      <c r="V293" s="20">
        <v>0</v>
      </c>
      <c r="W293" s="20">
        <v>-1</v>
      </c>
      <c r="Y293" s="18">
        <v>52</v>
      </c>
      <c r="Z293" s="15">
        <v>99.794766666666661</v>
      </c>
      <c r="AA293" s="16">
        <v>0.373</v>
      </c>
      <c r="AB293" s="16">
        <v>5.45</v>
      </c>
      <c r="AC293" s="16">
        <f t="shared" si="17"/>
        <v>0.29999999999999893</v>
      </c>
      <c r="AD293" s="21">
        <v>0.85566715241126801</v>
      </c>
      <c r="AE293" s="22" t="str">
        <f t="shared" si="19"/>
        <v>UC Berkeley Lab</v>
      </c>
      <c r="AF293" s="22" t="s">
        <v>48</v>
      </c>
    </row>
    <row r="294" spans="1:32" x14ac:dyDescent="0.2">
      <c r="A294" s="1">
        <v>439</v>
      </c>
      <c r="B294" s="13">
        <v>43732</v>
      </c>
      <c r="C294" s="1" t="s">
        <v>35</v>
      </c>
      <c r="D294" s="1" t="s">
        <v>4</v>
      </c>
      <c r="E294" s="1" t="s">
        <v>25</v>
      </c>
      <c r="F294" s="15">
        <v>2.5</v>
      </c>
      <c r="G294" s="15">
        <v>0</v>
      </c>
      <c r="H294" s="15">
        <v>4</v>
      </c>
      <c r="I294" s="15">
        <v>2.5</v>
      </c>
      <c r="J294" s="16">
        <v>5.4139999999999997</v>
      </c>
      <c r="K294" s="16">
        <v>0.69599999999999995</v>
      </c>
      <c r="L294" s="16">
        <f t="shared" si="20"/>
        <v>6.1099999999999994</v>
      </c>
      <c r="M294" s="17" t="s">
        <v>29</v>
      </c>
      <c r="N294" s="18">
        <v>100</v>
      </c>
      <c r="O294" s="18">
        <v>21</v>
      </c>
      <c r="P294" s="15">
        <v>0.17</v>
      </c>
      <c r="Q294" s="1" t="s">
        <v>54</v>
      </c>
      <c r="R294" s="20" t="str">
        <f t="shared" si="18"/>
        <v>horizontal</v>
      </c>
      <c r="S294" s="19">
        <v>-0.17</v>
      </c>
      <c r="T294" s="19">
        <v>0</v>
      </c>
      <c r="U294" s="19">
        <v>0</v>
      </c>
      <c r="V294" s="20">
        <v>0</v>
      </c>
      <c r="W294" s="20">
        <v>-1</v>
      </c>
      <c r="Y294" s="18">
        <v>115</v>
      </c>
      <c r="Z294" s="15">
        <v>99.911833333333334</v>
      </c>
      <c r="AA294" s="16">
        <v>0.35899999999999999</v>
      </c>
      <c r="AB294" s="16">
        <v>5.4189999999999996</v>
      </c>
      <c r="AC294" s="16">
        <f t="shared" si="17"/>
        <v>0.33199999999999985</v>
      </c>
      <c r="AD294" s="21">
        <v>1.13393879437961</v>
      </c>
      <c r="AE294" s="22" t="str">
        <f t="shared" si="19"/>
        <v>UC Berkeley Lab</v>
      </c>
      <c r="AF294" s="22" t="s">
        <v>49</v>
      </c>
    </row>
    <row r="295" spans="1:32" x14ac:dyDescent="0.2">
      <c r="A295" s="1">
        <v>440</v>
      </c>
      <c r="B295" s="13">
        <v>43732</v>
      </c>
      <c r="C295" s="1" t="s">
        <v>35</v>
      </c>
      <c r="D295" s="1" t="s">
        <v>4</v>
      </c>
      <c r="E295" s="1" t="s">
        <v>25</v>
      </c>
      <c r="F295" s="15">
        <v>2.5</v>
      </c>
      <c r="G295" s="15">
        <v>0</v>
      </c>
      <c r="H295" s="15">
        <v>4</v>
      </c>
      <c r="I295" s="15">
        <v>2.5</v>
      </c>
      <c r="J295" s="16">
        <v>5.42</v>
      </c>
      <c r="K295" s="16">
        <v>0.69399999999999995</v>
      </c>
      <c r="L295" s="16">
        <f t="shared" si="20"/>
        <v>6.1139999999999999</v>
      </c>
      <c r="M295" s="17" t="s">
        <v>29</v>
      </c>
      <c r="N295" s="18">
        <v>100</v>
      </c>
      <c r="O295" s="18">
        <v>21</v>
      </c>
      <c r="P295" s="15">
        <v>0.17</v>
      </c>
      <c r="Q295" s="1" t="s">
        <v>54</v>
      </c>
      <c r="R295" s="20" t="str">
        <f t="shared" si="18"/>
        <v>horizontal</v>
      </c>
      <c r="S295" s="19">
        <v>-0.17</v>
      </c>
      <c r="T295" s="19">
        <v>0</v>
      </c>
      <c r="U295" s="19">
        <v>0</v>
      </c>
      <c r="V295" s="20">
        <v>0</v>
      </c>
      <c r="W295" s="20">
        <v>-1</v>
      </c>
      <c r="Y295" s="18">
        <v>52</v>
      </c>
      <c r="Z295" s="15">
        <v>99.931333333333328</v>
      </c>
      <c r="AA295" s="16">
        <v>0.36799999999999999</v>
      </c>
      <c r="AB295" s="16">
        <v>5.431</v>
      </c>
      <c r="AC295" s="16">
        <f t="shared" si="17"/>
        <v>0.3149999999999995</v>
      </c>
      <c r="AD295" s="21">
        <v>0.93873650249346297</v>
      </c>
      <c r="AE295" s="22" t="str">
        <f t="shared" si="19"/>
        <v>UC Berkeley Lab</v>
      </c>
      <c r="AF295" s="22" t="s">
        <v>48</v>
      </c>
    </row>
    <row r="296" spans="1:32" x14ac:dyDescent="0.2">
      <c r="A296" s="1">
        <v>441</v>
      </c>
      <c r="B296" s="13">
        <v>43732</v>
      </c>
      <c r="C296" s="1" t="s">
        <v>35</v>
      </c>
      <c r="D296" s="1" t="s">
        <v>4</v>
      </c>
      <c r="E296" s="1" t="s">
        <v>25</v>
      </c>
      <c r="F296" s="15">
        <v>2.5</v>
      </c>
      <c r="G296" s="15">
        <v>0</v>
      </c>
      <c r="H296" s="15">
        <v>4</v>
      </c>
      <c r="I296" s="15">
        <v>2.5</v>
      </c>
      <c r="J296" s="16">
        <v>5.3959999999999999</v>
      </c>
      <c r="K296" s="16">
        <v>0.69699999999999995</v>
      </c>
      <c r="L296" s="16">
        <f t="shared" si="20"/>
        <v>6.093</v>
      </c>
      <c r="M296" s="17" t="s">
        <v>29</v>
      </c>
      <c r="N296" s="18">
        <v>100</v>
      </c>
      <c r="O296" s="18">
        <v>21</v>
      </c>
      <c r="P296" s="15">
        <v>0.17</v>
      </c>
      <c r="Q296" s="1" t="s">
        <v>54</v>
      </c>
      <c r="R296" s="20" t="str">
        <f t="shared" si="18"/>
        <v>horizontal</v>
      </c>
      <c r="S296" s="19">
        <v>-0.17</v>
      </c>
      <c r="T296" s="19">
        <v>0</v>
      </c>
      <c r="U296" s="19">
        <v>0</v>
      </c>
      <c r="V296" s="20">
        <v>0</v>
      </c>
      <c r="W296" s="20">
        <v>-1</v>
      </c>
      <c r="Y296" s="18">
        <v>113</v>
      </c>
      <c r="Z296" s="15">
        <v>100.01649999999999</v>
      </c>
      <c r="AA296" s="16">
        <v>0.35</v>
      </c>
      <c r="AB296" s="16">
        <v>5.4</v>
      </c>
      <c r="AC296" s="16">
        <f t="shared" si="17"/>
        <v>0.34299999999999997</v>
      </c>
      <c r="AD296" s="21">
        <v>1.2469940428461599</v>
      </c>
      <c r="AE296" s="22" t="str">
        <f t="shared" si="19"/>
        <v>UC Berkeley Lab</v>
      </c>
      <c r="AF296" s="22" t="s">
        <v>49</v>
      </c>
    </row>
    <row r="297" spans="1:32" x14ac:dyDescent="0.2">
      <c r="A297" s="1">
        <v>443</v>
      </c>
      <c r="B297" s="13">
        <v>43732</v>
      </c>
      <c r="C297" s="1" t="s">
        <v>35</v>
      </c>
      <c r="D297" s="1" t="s">
        <v>4</v>
      </c>
      <c r="E297" s="1" t="s">
        <v>25</v>
      </c>
      <c r="F297" s="15">
        <v>1.8</v>
      </c>
      <c r="G297" s="15">
        <v>0</v>
      </c>
      <c r="H297" s="15">
        <v>3</v>
      </c>
      <c r="I297" s="15">
        <v>1.8</v>
      </c>
      <c r="J297" s="16">
        <v>2.8050000000000002</v>
      </c>
      <c r="K297" s="16">
        <v>0.41399999999999998</v>
      </c>
      <c r="L297" s="16">
        <f t="shared" si="20"/>
        <v>3.2190000000000003</v>
      </c>
      <c r="M297" s="17" t="s">
        <v>29</v>
      </c>
      <c r="N297" s="18">
        <v>100</v>
      </c>
      <c r="O297" s="18">
        <v>21</v>
      </c>
      <c r="P297" s="15">
        <v>0.17</v>
      </c>
      <c r="Q297" s="1" t="s">
        <v>54</v>
      </c>
      <c r="R297" s="20" t="str">
        <f t="shared" si="18"/>
        <v>horizontal</v>
      </c>
      <c r="S297" s="19">
        <v>-0.17</v>
      </c>
      <c r="T297" s="19">
        <v>0</v>
      </c>
      <c r="U297" s="19">
        <v>0</v>
      </c>
      <c r="V297" s="20">
        <v>0</v>
      </c>
      <c r="W297" s="20">
        <v>-1</v>
      </c>
      <c r="Y297" s="18">
        <v>39</v>
      </c>
      <c r="Z297" s="15">
        <v>100.0732</v>
      </c>
      <c r="AA297" s="16">
        <v>0.23899999999999999</v>
      </c>
      <c r="AB297" s="16">
        <v>2.8730000000000002</v>
      </c>
      <c r="AC297" s="16">
        <f t="shared" si="17"/>
        <v>0.10700000000000021</v>
      </c>
      <c r="AD297" s="21">
        <v>1.08373911550611</v>
      </c>
      <c r="AE297" s="22" t="str">
        <f t="shared" si="19"/>
        <v>UC Berkeley Lab</v>
      </c>
      <c r="AF297" s="22" t="s">
        <v>48</v>
      </c>
    </row>
    <row r="298" spans="1:32" x14ac:dyDescent="0.2">
      <c r="A298" s="1">
        <v>444</v>
      </c>
      <c r="B298" s="13">
        <v>43732</v>
      </c>
      <c r="C298" s="1" t="s">
        <v>35</v>
      </c>
      <c r="D298" s="1" t="s">
        <v>4</v>
      </c>
      <c r="E298" s="1" t="s">
        <v>25</v>
      </c>
      <c r="F298" s="15">
        <v>1.8</v>
      </c>
      <c r="G298" s="15">
        <v>0</v>
      </c>
      <c r="H298" s="15">
        <v>3</v>
      </c>
      <c r="I298" s="15">
        <v>1.8</v>
      </c>
      <c r="J298" s="16">
        <v>2.8069999999999999</v>
      </c>
      <c r="K298" s="16">
        <v>0.41599999999999998</v>
      </c>
      <c r="L298" s="16">
        <f t="shared" si="20"/>
        <v>3.2229999999999999</v>
      </c>
      <c r="M298" s="17" t="s">
        <v>29</v>
      </c>
      <c r="N298" s="18">
        <v>100</v>
      </c>
      <c r="O298" s="18">
        <v>21</v>
      </c>
      <c r="P298" s="15">
        <v>0.17</v>
      </c>
      <c r="Q298" s="1" t="s">
        <v>54</v>
      </c>
      <c r="R298" s="20" t="str">
        <f t="shared" si="18"/>
        <v>horizontal</v>
      </c>
      <c r="S298" s="19">
        <v>-0.17</v>
      </c>
      <c r="T298" s="19">
        <v>0</v>
      </c>
      <c r="U298" s="19">
        <v>0</v>
      </c>
      <c r="V298" s="20">
        <v>0</v>
      </c>
      <c r="W298" s="20">
        <v>-1</v>
      </c>
      <c r="Y298" s="18">
        <v>95</v>
      </c>
      <c r="Z298" s="15">
        <v>99.975700000000003</v>
      </c>
      <c r="AA298" s="16">
        <v>0.245</v>
      </c>
      <c r="AB298" s="16">
        <v>2.81</v>
      </c>
      <c r="AC298" s="16">
        <f t="shared" si="17"/>
        <v>0.16799999999999971</v>
      </c>
      <c r="AD298" s="21">
        <v>1.3651264852716301</v>
      </c>
      <c r="AE298" s="22" t="str">
        <f t="shared" si="19"/>
        <v>UC Berkeley Lab</v>
      </c>
      <c r="AF298" s="22" t="s">
        <v>49</v>
      </c>
    </row>
    <row r="299" spans="1:32" x14ac:dyDescent="0.2">
      <c r="A299" s="1">
        <v>445</v>
      </c>
      <c r="B299" s="13">
        <v>43732</v>
      </c>
      <c r="C299" s="1" t="s">
        <v>35</v>
      </c>
      <c r="D299" s="1" t="s">
        <v>4</v>
      </c>
      <c r="E299" s="1" t="s">
        <v>25</v>
      </c>
      <c r="F299" s="15">
        <v>1.8</v>
      </c>
      <c r="G299" s="15">
        <v>0</v>
      </c>
      <c r="H299" s="15">
        <v>3</v>
      </c>
      <c r="I299" s="15">
        <v>1.8</v>
      </c>
      <c r="J299" s="16">
        <v>2.8050000000000002</v>
      </c>
      <c r="K299" s="16">
        <v>0.41599999999999998</v>
      </c>
      <c r="L299" s="16">
        <f t="shared" si="20"/>
        <v>3.2210000000000001</v>
      </c>
      <c r="M299" s="17" t="s">
        <v>29</v>
      </c>
      <c r="N299" s="18">
        <v>100</v>
      </c>
      <c r="O299" s="18">
        <v>21</v>
      </c>
      <c r="P299" s="15">
        <v>0.17</v>
      </c>
      <c r="Q299" s="1" t="s">
        <v>54</v>
      </c>
      <c r="R299" s="20" t="str">
        <f t="shared" si="18"/>
        <v>horizontal</v>
      </c>
      <c r="S299" s="19">
        <v>-0.17</v>
      </c>
      <c r="T299" s="19">
        <v>0</v>
      </c>
      <c r="U299" s="19">
        <v>0</v>
      </c>
      <c r="V299" s="20">
        <v>0</v>
      </c>
      <c r="W299" s="20">
        <v>-1</v>
      </c>
      <c r="Y299" s="18">
        <v>23</v>
      </c>
      <c r="Z299" s="15">
        <v>99.886966666666652</v>
      </c>
      <c r="AA299" s="16">
        <v>0.251</v>
      </c>
      <c r="AB299" s="16">
        <v>2.81</v>
      </c>
      <c r="AC299" s="16">
        <f t="shared" si="17"/>
        <v>0.16000000000000014</v>
      </c>
      <c r="AD299" s="21">
        <v>1.1422110851337199</v>
      </c>
      <c r="AE299" s="22" t="str">
        <f t="shared" si="19"/>
        <v>UC Berkeley Lab</v>
      </c>
      <c r="AF299" s="22" t="s">
        <v>47</v>
      </c>
    </row>
    <row r="300" spans="1:32" x14ac:dyDescent="0.2">
      <c r="A300" s="1">
        <v>446</v>
      </c>
      <c r="B300" s="13">
        <v>43732</v>
      </c>
      <c r="C300" s="1" t="s">
        <v>35</v>
      </c>
      <c r="D300" s="1" t="s">
        <v>4</v>
      </c>
      <c r="E300" s="1" t="s">
        <v>25</v>
      </c>
      <c r="F300" s="15">
        <v>1.8</v>
      </c>
      <c r="G300" s="15">
        <v>0</v>
      </c>
      <c r="H300" s="15">
        <v>3</v>
      </c>
      <c r="I300" s="15">
        <v>1.8</v>
      </c>
      <c r="J300" s="16">
        <v>2.8050000000000002</v>
      </c>
      <c r="K300" s="16">
        <v>0.41499999999999998</v>
      </c>
      <c r="L300" s="16">
        <f t="shared" si="20"/>
        <v>3.22</v>
      </c>
      <c r="M300" s="17" t="s">
        <v>29</v>
      </c>
      <c r="N300" s="18">
        <v>100</v>
      </c>
      <c r="O300" s="18">
        <v>21</v>
      </c>
      <c r="P300" s="15">
        <v>0.17</v>
      </c>
      <c r="Q300" s="1" t="s">
        <v>54</v>
      </c>
      <c r="R300" s="20" t="str">
        <f t="shared" si="18"/>
        <v>horizontal</v>
      </c>
      <c r="S300" s="19">
        <v>-0.17</v>
      </c>
      <c r="T300" s="19">
        <v>0</v>
      </c>
      <c r="U300" s="19">
        <v>0</v>
      </c>
      <c r="V300" s="20">
        <v>0</v>
      </c>
      <c r="W300" s="20">
        <v>-1</v>
      </c>
      <c r="Y300" s="18">
        <v>42</v>
      </c>
      <c r="Z300" s="15">
        <v>99.989866666666671</v>
      </c>
      <c r="AA300" s="16">
        <v>0.247</v>
      </c>
      <c r="AB300" s="16">
        <v>2.8090000000000002</v>
      </c>
      <c r="AC300" s="16">
        <f t="shared" si="17"/>
        <v>0.16400000000000015</v>
      </c>
      <c r="AD300" s="21">
        <v>1.3822519040405199</v>
      </c>
      <c r="AE300" s="22" t="str">
        <f t="shared" si="19"/>
        <v>UC Berkeley Lab</v>
      </c>
      <c r="AF300" s="22" t="s">
        <v>48</v>
      </c>
    </row>
    <row r="301" spans="1:32" x14ac:dyDescent="0.2">
      <c r="A301" s="1">
        <v>447</v>
      </c>
      <c r="B301" s="13">
        <v>43732</v>
      </c>
      <c r="C301" s="1" t="s">
        <v>35</v>
      </c>
      <c r="D301" s="1" t="s">
        <v>4</v>
      </c>
      <c r="E301" s="1" t="s">
        <v>25</v>
      </c>
      <c r="F301" s="15">
        <v>1.8</v>
      </c>
      <c r="G301" s="15">
        <v>0</v>
      </c>
      <c r="H301" s="15">
        <v>3</v>
      </c>
      <c r="I301" s="15">
        <v>1.8</v>
      </c>
      <c r="J301" s="16">
        <v>2.806</v>
      </c>
      <c r="K301" s="16">
        <v>0.41499999999999998</v>
      </c>
      <c r="L301" s="16">
        <f t="shared" si="20"/>
        <v>3.2210000000000001</v>
      </c>
      <c r="M301" s="17" t="s">
        <v>29</v>
      </c>
      <c r="N301" s="18">
        <v>100</v>
      </c>
      <c r="O301" s="18">
        <v>21</v>
      </c>
      <c r="P301" s="15">
        <v>0.17</v>
      </c>
      <c r="Q301" s="1" t="s">
        <v>54</v>
      </c>
      <c r="R301" s="20" t="str">
        <f t="shared" si="18"/>
        <v>horizontal</v>
      </c>
      <c r="S301" s="19">
        <v>-0.17</v>
      </c>
      <c r="T301" s="19">
        <v>0</v>
      </c>
      <c r="U301" s="19">
        <v>0</v>
      </c>
      <c r="V301" s="20">
        <v>0</v>
      </c>
      <c r="W301" s="20">
        <v>-1</v>
      </c>
      <c r="Y301" s="18">
        <v>86</v>
      </c>
      <c r="Z301" s="15">
        <v>100.04836666666667</v>
      </c>
      <c r="AA301" s="16">
        <v>0.24</v>
      </c>
      <c r="AB301" s="16">
        <v>2.81</v>
      </c>
      <c r="AC301" s="16">
        <f t="shared" ref="AC301:AC364" si="21">L301-AA301-AB301</f>
        <v>0.17099999999999982</v>
      </c>
      <c r="AD301" s="21">
        <v>1.22993630027676</v>
      </c>
      <c r="AE301" s="22" t="str">
        <f t="shared" si="19"/>
        <v>UC Berkeley Lab</v>
      </c>
      <c r="AF301" s="22" t="s">
        <v>49</v>
      </c>
    </row>
    <row r="302" spans="1:32" x14ac:dyDescent="0.2">
      <c r="A302" s="1">
        <v>448</v>
      </c>
      <c r="B302" s="13">
        <v>43732</v>
      </c>
      <c r="C302" s="1" t="s">
        <v>35</v>
      </c>
      <c r="D302" s="1" t="s">
        <v>4</v>
      </c>
      <c r="E302" s="1" t="s">
        <v>25</v>
      </c>
      <c r="F302" s="15">
        <v>1.8</v>
      </c>
      <c r="G302" s="15">
        <v>0</v>
      </c>
      <c r="H302" s="15">
        <v>3</v>
      </c>
      <c r="I302" s="15">
        <v>1.8</v>
      </c>
      <c r="J302" s="16">
        <v>2.8050000000000002</v>
      </c>
      <c r="K302" s="16">
        <v>0.41499999999999998</v>
      </c>
      <c r="L302" s="16">
        <f t="shared" si="20"/>
        <v>3.22</v>
      </c>
      <c r="M302" s="17" t="s">
        <v>29</v>
      </c>
      <c r="N302" s="18">
        <v>100</v>
      </c>
      <c r="O302" s="18">
        <v>21</v>
      </c>
      <c r="P302" s="15">
        <v>0.17</v>
      </c>
      <c r="Q302" s="1" t="s">
        <v>54</v>
      </c>
      <c r="R302" s="20" t="str">
        <f t="shared" si="18"/>
        <v>horizontal</v>
      </c>
      <c r="S302" s="19">
        <v>-0.17</v>
      </c>
      <c r="T302" s="19">
        <v>0</v>
      </c>
      <c r="U302" s="19">
        <v>0</v>
      </c>
      <c r="V302" s="20">
        <v>0</v>
      </c>
      <c r="W302" s="20">
        <v>-1</v>
      </c>
      <c r="Y302" s="18">
        <v>23</v>
      </c>
      <c r="Z302" s="15">
        <v>99.817833333333326</v>
      </c>
      <c r="AA302" s="16">
        <v>0.253</v>
      </c>
      <c r="AB302" s="16">
        <v>2.81</v>
      </c>
      <c r="AC302" s="16">
        <f t="shared" si="21"/>
        <v>0.15700000000000003</v>
      </c>
      <c r="AD302" s="21">
        <v>1.19560628256085</v>
      </c>
      <c r="AE302" s="22" t="str">
        <f t="shared" si="19"/>
        <v>UC Berkeley Lab</v>
      </c>
      <c r="AF302" s="22" t="s">
        <v>47</v>
      </c>
    </row>
    <row r="303" spans="1:32" x14ac:dyDescent="0.2">
      <c r="A303" s="1">
        <v>449</v>
      </c>
      <c r="B303" s="13">
        <v>43732</v>
      </c>
      <c r="C303" s="1" t="s">
        <v>35</v>
      </c>
      <c r="D303" s="1" t="s">
        <v>4</v>
      </c>
      <c r="E303" s="1" t="s">
        <v>25</v>
      </c>
      <c r="F303" s="15">
        <v>1.8</v>
      </c>
      <c r="G303" s="15">
        <v>0</v>
      </c>
      <c r="H303" s="15">
        <v>3</v>
      </c>
      <c r="I303" s="15">
        <v>1.8</v>
      </c>
      <c r="J303" s="16">
        <v>2.8039999999999998</v>
      </c>
      <c r="K303" s="16">
        <v>0.41599999999999998</v>
      </c>
      <c r="L303" s="16">
        <f t="shared" si="20"/>
        <v>3.2199999999999998</v>
      </c>
      <c r="M303" s="17" t="s">
        <v>29</v>
      </c>
      <c r="N303" s="18">
        <v>100</v>
      </c>
      <c r="O303" s="18">
        <v>21</v>
      </c>
      <c r="P303" s="15">
        <v>0.17</v>
      </c>
      <c r="Q303" s="1" t="s">
        <v>54</v>
      </c>
      <c r="R303" s="20" t="str">
        <f t="shared" si="18"/>
        <v>horizontal</v>
      </c>
      <c r="S303" s="19">
        <v>-0.17</v>
      </c>
      <c r="T303" s="19">
        <v>0</v>
      </c>
      <c r="U303" s="19">
        <v>0</v>
      </c>
      <c r="V303" s="20">
        <v>0</v>
      </c>
      <c r="W303" s="20">
        <v>-1</v>
      </c>
      <c r="Y303" s="18">
        <v>36</v>
      </c>
      <c r="Z303" s="15">
        <v>99.856833333333327</v>
      </c>
      <c r="AA303" s="16">
        <v>0.222</v>
      </c>
      <c r="AB303" s="16">
        <v>2.8410000000000002</v>
      </c>
      <c r="AC303" s="16">
        <f t="shared" si="21"/>
        <v>0.15699999999999958</v>
      </c>
      <c r="AD303" s="21">
        <v>1.12844179088633</v>
      </c>
      <c r="AE303" s="22" t="str">
        <f t="shared" si="19"/>
        <v>UC Berkeley Lab</v>
      </c>
      <c r="AF303" s="22" t="s">
        <v>48</v>
      </c>
    </row>
    <row r="304" spans="1:32" x14ac:dyDescent="0.2">
      <c r="A304" s="1">
        <v>450</v>
      </c>
      <c r="B304" s="13">
        <v>43732</v>
      </c>
      <c r="C304" s="1" t="s">
        <v>35</v>
      </c>
      <c r="D304" s="1" t="s">
        <v>4</v>
      </c>
      <c r="E304" s="1" t="s">
        <v>25</v>
      </c>
      <c r="F304" s="15">
        <v>1.8</v>
      </c>
      <c r="G304" s="15">
        <v>0</v>
      </c>
      <c r="H304" s="15">
        <v>3</v>
      </c>
      <c r="I304" s="15">
        <v>1.8</v>
      </c>
      <c r="J304" s="16">
        <v>2.8050000000000002</v>
      </c>
      <c r="K304" s="16">
        <v>0.41599999999999998</v>
      </c>
      <c r="L304" s="16">
        <f t="shared" si="20"/>
        <v>3.2210000000000001</v>
      </c>
      <c r="M304" s="17" t="s">
        <v>29</v>
      </c>
      <c r="N304" s="18">
        <v>100</v>
      </c>
      <c r="O304" s="18">
        <v>21</v>
      </c>
      <c r="P304" s="15">
        <v>0.17</v>
      </c>
      <c r="Q304" s="1" t="s">
        <v>54</v>
      </c>
      <c r="R304" s="20" t="str">
        <f t="shared" si="18"/>
        <v>horizontal</v>
      </c>
      <c r="S304" s="19">
        <v>-0.17</v>
      </c>
      <c r="T304" s="19">
        <v>0</v>
      </c>
      <c r="U304" s="19">
        <v>0</v>
      </c>
      <c r="V304" s="20">
        <v>0</v>
      </c>
      <c r="W304" s="20">
        <v>-1</v>
      </c>
      <c r="Y304" s="18">
        <v>101</v>
      </c>
      <c r="Z304" s="15">
        <v>100.01286666666665</v>
      </c>
      <c r="AA304" s="16">
        <v>0.246</v>
      </c>
      <c r="AB304" s="16">
        <v>2.8090000000000002</v>
      </c>
      <c r="AC304" s="16">
        <f t="shared" si="21"/>
        <v>0.16599999999999993</v>
      </c>
      <c r="AD304" s="21">
        <v>1.18431551053307</v>
      </c>
      <c r="AE304" s="22" t="str">
        <f t="shared" si="19"/>
        <v>UC Berkeley Lab</v>
      </c>
      <c r="AF304" s="22" t="s">
        <v>49</v>
      </c>
    </row>
    <row r="305" spans="1:32" x14ac:dyDescent="0.2">
      <c r="A305" s="1">
        <v>451</v>
      </c>
      <c r="B305" s="13">
        <v>43732</v>
      </c>
      <c r="C305" s="1" t="s">
        <v>35</v>
      </c>
      <c r="D305" s="1" t="s">
        <v>4</v>
      </c>
      <c r="E305" s="1" t="s">
        <v>25</v>
      </c>
      <c r="F305" s="15">
        <v>0.64</v>
      </c>
      <c r="G305" s="15">
        <v>0</v>
      </c>
      <c r="H305" s="15">
        <v>4</v>
      </c>
      <c r="I305" s="15">
        <v>0.7</v>
      </c>
      <c r="J305" s="16">
        <v>0.36480000000000001</v>
      </c>
      <c r="K305" s="16">
        <v>1.1220000000000001</v>
      </c>
      <c r="L305" s="16">
        <f t="shared" si="20"/>
        <v>1.4868000000000001</v>
      </c>
      <c r="M305" s="17" t="s">
        <v>29</v>
      </c>
      <c r="N305" s="18">
        <v>100</v>
      </c>
      <c r="O305" s="18">
        <v>21</v>
      </c>
      <c r="P305" s="15">
        <v>0.17</v>
      </c>
      <c r="Q305" s="1" t="s">
        <v>54</v>
      </c>
      <c r="R305" s="20" t="str">
        <f t="shared" si="18"/>
        <v>horizontal</v>
      </c>
      <c r="S305" s="19">
        <v>-0.17</v>
      </c>
      <c r="T305" s="19">
        <v>0</v>
      </c>
      <c r="U305" s="19">
        <v>0</v>
      </c>
      <c r="V305" s="20">
        <v>0</v>
      </c>
      <c r="W305" s="20">
        <v>-1</v>
      </c>
      <c r="Y305" s="18">
        <v>27</v>
      </c>
      <c r="Z305" s="15">
        <v>99.892299999999992</v>
      </c>
      <c r="AA305" s="16">
        <v>0.34599999999999997</v>
      </c>
      <c r="AB305" s="16">
        <v>0.39200000000000002</v>
      </c>
      <c r="AC305" s="16">
        <f t="shared" si="21"/>
        <v>0.74880000000000002</v>
      </c>
      <c r="AD305" s="21">
        <v>0.53834081634823405</v>
      </c>
      <c r="AE305" s="22" t="str">
        <f t="shared" si="19"/>
        <v>UC Berkeley Lab</v>
      </c>
      <c r="AF305" s="22" t="s">
        <v>47</v>
      </c>
    </row>
    <row r="306" spans="1:32" x14ac:dyDescent="0.2">
      <c r="A306" s="1">
        <v>452</v>
      </c>
      <c r="B306" s="13">
        <v>43732</v>
      </c>
      <c r="C306" s="1" t="s">
        <v>35</v>
      </c>
      <c r="D306" s="1" t="s">
        <v>4</v>
      </c>
      <c r="E306" s="1" t="s">
        <v>25</v>
      </c>
      <c r="F306" s="15">
        <v>0.64</v>
      </c>
      <c r="G306" s="15">
        <v>0</v>
      </c>
      <c r="H306" s="15">
        <v>4</v>
      </c>
      <c r="I306" s="15">
        <v>0.7</v>
      </c>
      <c r="J306" s="16">
        <v>0.36499999999999999</v>
      </c>
      <c r="K306" s="16">
        <v>1.1240000000000001</v>
      </c>
      <c r="L306" s="16">
        <f t="shared" si="20"/>
        <v>1.4890000000000001</v>
      </c>
      <c r="M306" s="17" t="s">
        <v>29</v>
      </c>
      <c r="N306" s="18">
        <v>100</v>
      </c>
      <c r="O306" s="18">
        <v>21</v>
      </c>
      <c r="P306" s="15">
        <v>0.17</v>
      </c>
      <c r="Q306" s="1" t="s">
        <v>54</v>
      </c>
      <c r="R306" s="20" t="str">
        <f t="shared" si="18"/>
        <v>horizontal</v>
      </c>
      <c r="S306" s="19">
        <v>-0.17</v>
      </c>
      <c r="T306" s="19">
        <v>0</v>
      </c>
      <c r="U306" s="19">
        <v>0</v>
      </c>
      <c r="V306" s="20">
        <v>0</v>
      </c>
      <c r="W306" s="20">
        <v>-1</v>
      </c>
      <c r="Y306" s="18">
        <v>36</v>
      </c>
      <c r="Z306" s="15">
        <v>99.85863333333333</v>
      </c>
      <c r="AA306" s="16">
        <v>0.34499999999999997</v>
      </c>
      <c r="AB306" s="16">
        <v>0.39100000000000001</v>
      </c>
      <c r="AC306" s="16">
        <f t="shared" si="21"/>
        <v>0.75300000000000011</v>
      </c>
      <c r="AD306" s="21">
        <v>0.53906227449076505</v>
      </c>
      <c r="AE306" s="22" t="str">
        <f t="shared" si="19"/>
        <v>UC Berkeley Lab</v>
      </c>
      <c r="AF306" s="22" t="s">
        <v>48</v>
      </c>
    </row>
    <row r="307" spans="1:32" x14ac:dyDescent="0.2">
      <c r="A307" s="1">
        <v>453</v>
      </c>
      <c r="B307" s="13">
        <v>43732</v>
      </c>
      <c r="C307" s="1" t="s">
        <v>35</v>
      </c>
      <c r="D307" s="1" t="s">
        <v>4</v>
      </c>
      <c r="E307" s="1" t="s">
        <v>25</v>
      </c>
      <c r="F307" s="15">
        <v>0.64</v>
      </c>
      <c r="G307" s="15">
        <v>0</v>
      </c>
      <c r="H307" s="15">
        <v>4</v>
      </c>
      <c r="I307" s="15">
        <v>0.7</v>
      </c>
      <c r="J307" s="16">
        <v>0.36459999999999998</v>
      </c>
      <c r="K307" s="16">
        <v>1.121</v>
      </c>
      <c r="L307" s="16">
        <f t="shared" si="20"/>
        <v>1.4856</v>
      </c>
      <c r="M307" s="17" t="s">
        <v>29</v>
      </c>
      <c r="N307" s="18">
        <v>100</v>
      </c>
      <c r="O307" s="18">
        <v>21</v>
      </c>
      <c r="P307" s="15">
        <v>0.17</v>
      </c>
      <c r="Q307" s="1" t="s">
        <v>54</v>
      </c>
      <c r="R307" s="20" t="str">
        <f t="shared" si="18"/>
        <v>horizontal</v>
      </c>
      <c r="S307" s="19">
        <v>-0.17</v>
      </c>
      <c r="T307" s="19">
        <v>0</v>
      </c>
      <c r="U307" s="19">
        <v>0</v>
      </c>
      <c r="V307" s="20">
        <v>0</v>
      </c>
      <c r="W307" s="20">
        <v>-1</v>
      </c>
      <c r="Y307" s="18">
        <v>180</v>
      </c>
      <c r="Z307" s="15">
        <v>100.06436666666667</v>
      </c>
      <c r="AA307" s="16">
        <v>0.318</v>
      </c>
      <c r="AB307" s="16">
        <v>0.36699999999999999</v>
      </c>
      <c r="AC307" s="16">
        <f t="shared" si="21"/>
        <v>0.80059999999999998</v>
      </c>
      <c r="AD307" s="21">
        <v>0.55230605824351298</v>
      </c>
      <c r="AE307" s="22" t="str">
        <f t="shared" si="19"/>
        <v>UC Berkeley Lab</v>
      </c>
      <c r="AF307" s="22" t="s">
        <v>49</v>
      </c>
    </row>
    <row r="308" spans="1:32" x14ac:dyDescent="0.2">
      <c r="A308" s="1">
        <v>454</v>
      </c>
      <c r="B308" s="13">
        <v>43732</v>
      </c>
      <c r="C308" s="1" t="s">
        <v>35</v>
      </c>
      <c r="D308" s="1" t="s">
        <v>4</v>
      </c>
      <c r="E308" s="1" t="s">
        <v>25</v>
      </c>
      <c r="F308" s="15">
        <v>0.64</v>
      </c>
      <c r="G308" s="15">
        <v>0</v>
      </c>
      <c r="H308" s="15">
        <v>4</v>
      </c>
      <c r="I308" s="15">
        <v>0.7</v>
      </c>
      <c r="J308" s="16">
        <v>0.36499999999999999</v>
      </c>
      <c r="K308" s="16">
        <v>1.131</v>
      </c>
      <c r="L308" s="16">
        <f t="shared" si="20"/>
        <v>1.496</v>
      </c>
      <c r="M308" s="17" t="s">
        <v>29</v>
      </c>
      <c r="N308" s="18">
        <v>100</v>
      </c>
      <c r="O308" s="18">
        <v>21</v>
      </c>
      <c r="P308" s="15">
        <v>0.17</v>
      </c>
      <c r="Q308" s="1" t="s">
        <v>54</v>
      </c>
      <c r="R308" s="20" t="str">
        <f t="shared" si="18"/>
        <v>horizontal</v>
      </c>
      <c r="S308" s="19">
        <v>-0.17</v>
      </c>
      <c r="T308" s="19">
        <v>0</v>
      </c>
      <c r="U308" s="19">
        <v>0</v>
      </c>
      <c r="V308" s="20">
        <v>0</v>
      </c>
      <c r="W308" s="20">
        <v>-1</v>
      </c>
      <c r="Y308" s="18">
        <v>22</v>
      </c>
      <c r="Z308" s="15">
        <v>99.819599999999994</v>
      </c>
      <c r="AA308" s="16">
        <v>0.35499999999999998</v>
      </c>
      <c r="AB308" s="16">
        <v>0.36599999999999999</v>
      </c>
      <c r="AC308" s="16">
        <f t="shared" si="21"/>
        <v>0.77500000000000002</v>
      </c>
      <c r="AD308" s="21">
        <v>0.538246244011098</v>
      </c>
      <c r="AE308" s="22" t="str">
        <f t="shared" si="19"/>
        <v>UC Berkeley Lab</v>
      </c>
      <c r="AF308" s="22" t="s">
        <v>47</v>
      </c>
    </row>
    <row r="309" spans="1:32" x14ac:dyDescent="0.2">
      <c r="A309" s="1">
        <v>455</v>
      </c>
      <c r="B309" s="13">
        <v>43732</v>
      </c>
      <c r="C309" s="1" t="s">
        <v>35</v>
      </c>
      <c r="D309" s="1" t="s">
        <v>4</v>
      </c>
      <c r="E309" s="1" t="s">
        <v>25</v>
      </c>
      <c r="F309" s="15">
        <v>0.64</v>
      </c>
      <c r="G309" s="15">
        <v>0</v>
      </c>
      <c r="H309" s="15">
        <v>4</v>
      </c>
      <c r="I309" s="15">
        <v>0.7</v>
      </c>
      <c r="J309" s="16">
        <v>0.36509999999999998</v>
      </c>
      <c r="K309" s="16">
        <v>1.1220000000000001</v>
      </c>
      <c r="L309" s="16">
        <f t="shared" si="20"/>
        <v>1.4871000000000001</v>
      </c>
      <c r="M309" s="17" t="s">
        <v>29</v>
      </c>
      <c r="N309" s="18">
        <v>100</v>
      </c>
      <c r="O309" s="18">
        <v>21</v>
      </c>
      <c r="P309" s="15">
        <v>0.17</v>
      </c>
      <c r="Q309" s="1" t="s">
        <v>54</v>
      </c>
      <c r="R309" s="20" t="str">
        <f t="shared" si="18"/>
        <v>horizontal</v>
      </c>
      <c r="S309" s="19">
        <v>-0.17</v>
      </c>
      <c r="T309" s="19">
        <v>0</v>
      </c>
      <c r="U309" s="19">
        <v>0</v>
      </c>
      <c r="V309" s="20">
        <v>0</v>
      </c>
      <c r="W309" s="20">
        <v>-1</v>
      </c>
      <c r="Y309" s="18">
        <v>33</v>
      </c>
      <c r="Z309" s="15">
        <v>99.918899999999994</v>
      </c>
      <c r="AA309" s="16">
        <v>0.34899999999999998</v>
      </c>
      <c r="AB309" s="16">
        <v>0.38800000000000001</v>
      </c>
      <c r="AC309" s="16">
        <f t="shared" si="21"/>
        <v>0.7501000000000001</v>
      </c>
      <c r="AD309" s="21">
        <v>0.53702130845133</v>
      </c>
      <c r="AE309" s="22" t="str">
        <f t="shared" si="19"/>
        <v>UC Berkeley Lab</v>
      </c>
      <c r="AF309" s="22" t="s">
        <v>48</v>
      </c>
    </row>
    <row r="310" spans="1:32" x14ac:dyDescent="0.2">
      <c r="A310" s="1">
        <v>456</v>
      </c>
      <c r="B310" s="13">
        <v>43732</v>
      </c>
      <c r="C310" s="1" t="s">
        <v>35</v>
      </c>
      <c r="D310" s="1" t="s">
        <v>4</v>
      </c>
      <c r="E310" s="1" t="s">
        <v>25</v>
      </c>
      <c r="F310" s="15">
        <v>0.64</v>
      </c>
      <c r="G310" s="15">
        <v>0</v>
      </c>
      <c r="H310" s="15">
        <v>4</v>
      </c>
      <c r="I310" s="15">
        <v>0.7</v>
      </c>
      <c r="J310" s="16">
        <v>0.36199999999999999</v>
      </c>
      <c r="K310" s="16">
        <v>1.127</v>
      </c>
      <c r="L310" s="16">
        <f t="shared" si="20"/>
        <v>1.4889999999999999</v>
      </c>
      <c r="M310" s="17" t="s">
        <v>29</v>
      </c>
      <c r="N310" s="18">
        <v>100</v>
      </c>
      <c r="O310" s="18">
        <v>21</v>
      </c>
      <c r="P310" s="15">
        <v>0.17</v>
      </c>
      <c r="Q310" s="1" t="s">
        <v>54</v>
      </c>
      <c r="R310" s="20" t="str">
        <f t="shared" si="18"/>
        <v>horizontal</v>
      </c>
      <c r="S310" s="19">
        <v>-0.17</v>
      </c>
      <c r="T310" s="19">
        <v>0</v>
      </c>
      <c r="U310" s="19">
        <v>0</v>
      </c>
      <c r="V310" s="20">
        <v>0</v>
      </c>
      <c r="W310" s="20">
        <v>-1</v>
      </c>
      <c r="Y310" s="18">
        <v>184</v>
      </c>
      <c r="Z310" s="15">
        <v>100.00583333333334</v>
      </c>
      <c r="AA310" s="16">
        <v>0.34699999999999998</v>
      </c>
      <c r="AB310" s="16">
        <v>0.372</v>
      </c>
      <c r="AC310" s="16">
        <f t="shared" si="21"/>
        <v>0.76999999999999991</v>
      </c>
      <c r="AD310" s="21">
        <v>0.55045450273409902</v>
      </c>
      <c r="AE310" s="22" t="str">
        <f t="shared" si="19"/>
        <v>UC Berkeley Lab</v>
      </c>
      <c r="AF310" s="22" t="s">
        <v>49</v>
      </c>
    </row>
    <row r="311" spans="1:32" x14ac:dyDescent="0.2">
      <c r="A311" s="1">
        <v>457</v>
      </c>
      <c r="B311" s="13">
        <v>43732</v>
      </c>
      <c r="C311" s="1" t="s">
        <v>35</v>
      </c>
      <c r="D311" s="1" t="s">
        <v>4</v>
      </c>
      <c r="E311" s="1" t="s">
        <v>25</v>
      </c>
      <c r="F311" s="15">
        <v>0.64</v>
      </c>
      <c r="G311" s="15">
        <v>0</v>
      </c>
      <c r="H311" s="15">
        <v>4</v>
      </c>
      <c r="I311" s="15">
        <v>0.7</v>
      </c>
      <c r="J311" s="16">
        <v>0.36399999999999999</v>
      </c>
      <c r="K311" s="16">
        <v>1.1299999999999999</v>
      </c>
      <c r="L311" s="16">
        <f t="shared" si="20"/>
        <v>1.4939999999999998</v>
      </c>
      <c r="M311" s="17" t="s">
        <v>29</v>
      </c>
      <c r="N311" s="18">
        <v>100</v>
      </c>
      <c r="O311" s="18">
        <v>21</v>
      </c>
      <c r="P311" s="15">
        <v>0.17</v>
      </c>
      <c r="Q311" s="1" t="s">
        <v>54</v>
      </c>
      <c r="R311" s="20" t="str">
        <f t="shared" si="18"/>
        <v>horizontal</v>
      </c>
      <c r="S311" s="19">
        <v>-0.17</v>
      </c>
      <c r="T311" s="19">
        <v>0</v>
      </c>
      <c r="U311" s="19">
        <v>0</v>
      </c>
      <c r="V311" s="20">
        <v>0</v>
      </c>
      <c r="W311" s="20">
        <v>-1</v>
      </c>
      <c r="Y311" s="18">
        <v>21</v>
      </c>
      <c r="Z311" s="15">
        <v>99.988099999999989</v>
      </c>
      <c r="AA311" s="16">
        <v>0.34200000000000003</v>
      </c>
      <c r="AB311" s="16">
        <v>0.38900000000000001</v>
      </c>
      <c r="AC311" s="16">
        <f t="shared" si="21"/>
        <v>0.76299999999999968</v>
      </c>
      <c r="AD311" s="21">
        <v>0.52918807966508896</v>
      </c>
      <c r="AE311" s="22" t="str">
        <f t="shared" si="19"/>
        <v>UC Berkeley Lab</v>
      </c>
      <c r="AF311" s="22" t="s">
        <v>47</v>
      </c>
    </row>
    <row r="312" spans="1:32" x14ac:dyDescent="0.2">
      <c r="A312" s="1">
        <v>458</v>
      </c>
      <c r="B312" s="13">
        <v>43732</v>
      </c>
      <c r="C312" s="1" t="s">
        <v>35</v>
      </c>
      <c r="D312" s="1" t="s">
        <v>4</v>
      </c>
      <c r="E312" s="1" t="s">
        <v>25</v>
      </c>
      <c r="F312" s="15">
        <v>0.64</v>
      </c>
      <c r="G312" s="15">
        <v>0</v>
      </c>
      <c r="H312" s="15">
        <v>4</v>
      </c>
      <c r="I312" s="15">
        <v>0.7</v>
      </c>
      <c r="J312" s="16">
        <v>0.36499999999999999</v>
      </c>
      <c r="K312" s="16">
        <v>1.1379999999999999</v>
      </c>
      <c r="L312" s="16">
        <f t="shared" si="20"/>
        <v>1.5029999999999999</v>
      </c>
      <c r="M312" s="17" t="s">
        <v>29</v>
      </c>
      <c r="N312" s="18">
        <v>100</v>
      </c>
      <c r="O312" s="18">
        <v>21</v>
      </c>
      <c r="P312" s="15">
        <v>0.17</v>
      </c>
      <c r="Q312" s="1" t="s">
        <v>54</v>
      </c>
      <c r="R312" s="20" t="str">
        <f t="shared" si="18"/>
        <v>horizontal</v>
      </c>
      <c r="S312" s="19">
        <v>-0.17</v>
      </c>
      <c r="T312" s="19">
        <v>0</v>
      </c>
      <c r="U312" s="19">
        <v>0</v>
      </c>
      <c r="V312" s="20">
        <v>0</v>
      </c>
      <c r="W312" s="20">
        <v>-1</v>
      </c>
      <c r="Y312" s="18">
        <v>33</v>
      </c>
      <c r="Z312" s="15">
        <v>100.0342</v>
      </c>
      <c r="AA312" s="16">
        <v>0.379</v>
      </c>
      <c r="AB312" s="16">
        <v>0.36599999999999999</v>
      </c>
      <c r="AC312" s="16">
        <f t="shared" si="21"/>
        <v>0.7579999999999999</v>
      </c>
      <c r="AD312" s="21">
        <v>0.55182233098892697</v>
      </c>
      <c r="AE312" s="22" t="str">
        <f t="shared" si="19"/>
        <v>UC Berkeley Lab</v>
      </c>
      <c r="AF312" s="22" t="s">
        <v>48</v>
      </c>
    </row>
    <row r="313" spans="1:32" x14ac:dyDescent="0.2">
      <c r="A313" s="1">
        <v>459</v>
      </c>
      <c r="B313" s="13">
        <v>43732</v>
      </c>
      <c r="C313" s="1" t="s">
        <v>35</v>
      </c>
      <c r="D313" s="1" t="s">
        <v>4</v>
      </c>
      <c r="E313" s="1" t="s">
        <v>25</v>
      </c>
      <c r="F313" s="15">
        <v>0.64</v>
      </c>
      <c r="G313" s="15">
        <v>0</v>
      </c>
      <c r="H313" s="15">
        <v>4</v>
      </c>
      <c r="I313" s="15">
        <v>0.7</v>
      </c>
      <c r="J313" s="16">
        <v>0.36599999999999999</v>
      </c>
      <c r="K313" s="16">
        <v>1.135</v>
      </c>
      <c r="L313" s="16">
        <f t="shared" si="20"/>
        <v>1.5009999999999999</v>
      </c>
      <c r="M313" s="17" t="s">
        <v>29</v>
      </c>
      <c r="N313" s="18">
        <v>100</v>
      </c>
      <c r="O313" s="18">
        <v>21</v>
      </c>
      <c r="P313" s="15">
        <v>0.17</v>
      </c>
      <c r="Q313" s="1" t="s">
        <v>54</v>
      </c>
      <c r="R313" s="20" t="str">
        <f t="shared" si="18"/>
        <v>horizontal</v>
      </c>
      <c r="S313" s="19">
        <v>-0.17</v>
      </c>
      <c r="T313" s="19">
        <v>0</v>
      </c>
      <c r="U313" s="19">
        <v>0</v>
      </c>
      <c r="V313" s="20">
        <v>0</v>
      </c>
      <c r="W313" s="20">
        <v>-1</v>
      </c>
      <c r="Y313" s="18">
        <v>180</v>
      </c>
      <c r="Z313" s="15">
        <v>99.883466666666664</v>
      </c>
      <c r="AA313" s="16">
        <v>0.33900000000000002</v>
      </c>
      <c r="AB313" s="16">
        <v>0.375</v>
      </c>
      <c r="AC313" s="16">
        <f t="shared" si="21"/>
        <v>0.78699999999999992</v>
      </c>
      <c r="AD313" s="21">
        <v>0.55232361720024303</v>
      </c>
      <c r="AE313" s="22" t="str">
        <f t="shared" si="19"/>
        <v>UC Berkeley Lab</v>
      </c>
      <c r="AF313" s="22" t="s">
        <v>49</v>
      </c>
    </row>
    <row r="314" spans="1:32" x14ac:dyDescent="0.2">
      <c r="A314" s="1">
        <v>466</v>
      </c>
      <c r="B314" s="13">
        <v>43871</v>
      </c>
      <c r="C314" s="1" t="s">
        <v>35</v>
      </c>
      <c r="D314" s="1" t="s">
        <v>4</v>
      </c>
      <c r="E314" s="1" t="s">
        <v>25</v>
      </c>
      <c r="F314" s="15">
        <v>0.64</v>
      </c>
      <c r="G314" s="15">
        <v>0</v>
      </c>
      <c r="H314" s="15">
        <v>4</v>
      </c>
      <c r="I314" s="15">
        <v>0.7</v>
      </c>
      <c r="J314" s="16">
        <v>0.36599999999999999</v>
      </c>
      <c r="K314" s="16">
        <v>1.1259999999999999</v>
      </c>
      <c r="L314" s="16">
        <f t="shared" ref="L314:L318" si="22">SUM(J314:K314)</f>
        <v>1.492</v>
      </c>
      <c r="M314" s="17" t="s">
        <v>29</v>
      </c>
      <c r="N314" s="18">
        <v>100</v>
      </c>
      <c r="O314" s="18">
        <v>18</v>
      </c>
      <c r="P314" s="23">
        <v>0.1</v>
      </c>
      <c r="Q314" s="1" t="s">
        <v>2</v>
      </c>
      <c r="R314" s="20" t="str">
        <f t="shared" si="18"/>
        <v>horizontal</v>
      </c>
      <c r="S314" s="19">
        <v>0.1</v>
      </c>
      <c r="T314" s="19">
        <v>0</v>
      </c>
      <c r="U314" s="19">
        <v>0</v>
      </c>
      <c r="V314" s="20">
        <v>0</v>
      </c>
      <c r="W314" s="20">
        <v>-1</v>
      </c>
      <c r="Y314" s="18">
        <v>20</v>
      </c>
      <c r="Z314" s="15">
        <v>100.25</v>
      </c>
      <c r="AA314" s="16">
        <v>0.44</v>
      </c>
      <c r="AB314" s="16">
        <v>0.43</v>
      </c>
      <c r="AC314" s="16">
        <f t="shared" si="21"/>
        <v>0.62200000000000011</v>
      </c>
      <c r="AD314" s="21">
        <v>0.63232282153805297</v>
      </c>
      <c r="AE314" s="22" t="str">
        <f t="shared" si="19"/>
        <v>UC Berkeley Lab</v>
      </c>
      <c r="AF314" s="22" t="s">
        <v>58</v>
      </c>
    </row>
    <row r="315" spans="1:32" x14ac:dyDescent="0.2">
      <c r="A315" s="1">
        <v>471</v>
      </c>
      <c r="B315" s="13">
        <v>43871</v>
      </c>
      <c r="C315" s="1" t="s">
        <v>35</v>
      </c>
      <c r="D315" s="1" t="s">
        <v>4</v>
      </c>
      <c r="E315" s="1" t="s">
        <v>25</v>
      </c>
      <c r="F315" s="15">
        <v>0.64</v>
      </c>
      <c r="G315" s="15">
        <v>0</v>
      </c>
      <c r="H315" s="15">
        <v>4</v>
      </c>
      <c r="I315" s="15">
        <v>0.7</v>
      </c>
      <c r="J315" s="16">
        <v>0.35899999999999999</v>
      </c>
      <c r="K315" s="16">
        <v>1.127</v>
      </c>
      <c r="L315" s="16">
        <f t="shared" si="22"/>
        <v>1.486</v>
      </c>
      <c r="M315" s="17" t="s">
        <v>29</v>
      </c>
      <c r="N315" s="18">
        <v>100</v>
      </c>
      <c r="O315" s="18">
        <v>18</v>
      </c>
      <c r="P315" s="23">
        <v>0.2</v>
      </c>
      <c r="Q315" s="1" t="s">
        <v>2</v>
      </c>
      <c r="R315" s="20" t="str">
        <f t="shared" si="18"/>
        <v>horizontal</v>
      </c>
      <c r="S315" s="19">
        <v>0.2</v>
      </c>
      <c r="T315" s="19">
        <v>0</v>
      </c>
      <c r="U315" s="19">
        <v>0</v>
      </c>
      <c r="V315" s="20">
        <v>0</v>
      </c>
      <c r="W315" s="20">
        <v>-1</v>
      </c>
      <c r="Y315" s="18">
        <v>25</v>
      </c>
      <c r="Z315" s="15">
        <v>99.903333333333322</v>
      </c>
      <c r="AA315" s="16">
        <v>0.36</v>
      </c>
      <c r="AB315" s="16">
        <v>0.43</v>
      </c>
      <c r="AC315" s="16">
        <f t="shared" si="21"/>
        <v>0.69599999999999995</v>
      </c>
      <c r="AD315" s="21">
        <v>0.69461131230482998</v>
      </c>
      <c r="AE315" s="22" t="str">
        <f t="shared" si="19"/>
        <v>UC Berkeley Lab</v>
      </c>
      <c r="AF315" s="22" t="s">
        <v>58</v>
      </c>
    </row>
    <row r="316" spans="1:32" x14ac:dyDescent="0.2">
      <c r="A316" s="1">
        <v>478</v>
      </c>
      <c r="B316" s="13">
        <v>43872</v>
      </c>
      <c r="C316" s="1" t="s">
        <v>35</v>
      </c>
      <c r="D316" s="1" t="s">
        <v>4</v>
      </c>
      <c r="E316" s="1" t="s">
        <v>25</v>
      </c>
      <c r="F316" s="15">
        <v>0.64</v>
      </c>
      <c r="G316" s="15">
        <v>0</v>
      </c>
      <c r="H316" s="15">
        <v>4</v>
      </c>
      <c r="I316" s="15">
        <v>0.7</v>
      </c>
      <c r="J316" s="16">
        <v>0.36299999999999999</v>
      </c>
      <c r="K316" s="16">
        <v>1.1319999999999999</v>
      </c>
      <c r="L316" s="16">
        <f t="shared" si="22"/>
        <v>1.4949999999999999</v>
      </c>
      <c r="M316" s="17" t="s">
        <v>29</v>
      </c>
      <c r="N316" s="18">
        <v>100</v>
      </c>
      <c r="O316" s="18">
        <v>18</v>
      </c>
      <c r="P316" s="23">
        <v>0.1</v>
      </c>
      <c r="Q316" s="1" t="s">
        <v>2</v>
      </c>
      <c r="R316" s="20" t="str">
        <f t="shared" si="18"/>
        <v>horizontal</v>
      </c>
      <c r="S316" s="19">
        <v>0.1</v>
      </c>
      <c r="T316" s="19">
        <v>0</v>
      </c>
      <c r="U316" s="19">
        <v>0</v>
      </c>
      <c r="V316" s="20">
        <v>0</v>
      </c>
      <c r="W316" s="20">
        <v>-1</v>
      </c>
      <c r="Y316" s="18">
        <v>25</v>
      </c>
      <c r="Z316" s="15">
        <v>80.040000000000006</v>
      </c>
      <c r="AA316" s="16">
        <v>0.31</v>
      </c>
      <c r="AB316" s="16">
        <v>0.44</v>
      </c>
      <c r="AC316" s="16">
        <f t="shared" si="21"/>
        <v>0.74499999999999988</v>
      </c>
      <c r="AD316" s="21">
        <v>0.54929447390855801</v>
      </c>
      <c r="AE316" s="22" t="str">
        <f t="shared" si="19"/>
        <v>UC Berkeley Lab</v>
      </c>
      <c r="AF316" s="22" t="s">
        <v>57</v>
      </c>
    </row>
    <row r="317" spans="1:32" x14ac:dyDescent="0.2">
      <c r="A317" s="1">
        <v>479</v>
      </c>
      <c r="B317" s="13">
        <v>43873</v>
      </c>
      <c r="C317" s="1" t="s">
        <v>35</v>
      </c>
      <c r="D317" s="1" t="s">
        <v>4</v>
      </c>
      <c r="E317" s="1" t="s">
        <v>25</v>
      </c>
      <c r="F317" s="15">
        <v>0.64</v>
      </c>
      <c r="G317" s="15">
        <v>0</v>
      </c>
      <c r="H317" s="15">
        <v>4</v>
      </c>
      <c r="I317" s="15">
        <v>0.7</v>
      </c>
      <c r="J317" s="16">
        <v>0.36299999999999999</v>
      </c>
      <c r="K317" s="16">
        <v>1.127</v>
      </c>
      <c r="L317" s="16">
        <f t="shared" si="22"/>
        <v>1.49</v>
      </c>
      <c r="M317" s="17" t="s">
        <v>29</v>
      </c>
      <c r="N317" s="18">
        <v>100</v>
      </c>
      <c r="O317" s="18">
        <v>18</v>
      </c>
      <c r="P317" s="23">
        <v>0.1</v>
      </c>
      <c r="Q317" s="1" t="s">
        <v>2</v>
      </c>
      <c r="R317" s="20" t="str">
        <f t="shared" si="18"/>
        <v>horizontal</v>
      </c>
      <c r="S317" s="19">
        <v>0.1</v>
      </c>
      <c r="T317" s="19">
        <v>0</v>
      </c>
      <c r="U317" s="19">
        <v>0</v>
      </c>
      <c r="V317" s="20">
        <v>0</v>
      </c>
      <c r="W317" s="20">
        <v>-1</v>
      </c>
      <c r="Y317" s="18">
        <v>25</v>
      </c>
      <c r="Z317" s="15">
        <v>80.00333333333333</v>
      </c>
      <c r="AA317" s="16">
        <v>0.3</v>
      </c>
      <c r="AB317" s="16">
        <v>0.44</v>
      </c>
      <c r="AC317" s="16">
        <f t="shared" si="21"/>
        <v>0.75</v>
      </c>
      <c r="AD317" s="21">
        <v>0.56540761269162199</v>
      </c>
      <c r="AE317" s="22" t="str">
        <f t="shared" si="19"/>
        <v>UC Berkeley Lab</v>
      </c>
      <c r="AF317" s="22" t="s">
        <v>57</v>
      </c>
    </row>
    <row r="318" spans="1:32" x14ac:dyDescent="0.2">
      <c r="A318" s="1">
        <v>486</v>
      </c>
      <c r="B318" s="13">
        <v>43874</v>
      </c>
      <c r="C318" s="1" t="s">
        <v>35</v>
      </c>
      <c r="D318" s="1" t="s">
        <v>4</v>
      </c>
      <c r="E318" s="1" t="s">
        <v>25</v>
      </c>
      <c r="F318" s="15">
        <v>0.64</v>
      </c>
      <c r="G318" s="15">
        <v>0</v>
      </c>
      <c r="H318" s="15">
        <v>4</v>
      </c>
      <c r="I318" s="15">
        <v>0.7</v>
      </c>
      <c r="J318" s="16">
        <v>0.36499999999999999</v>
      </c>
      <c r="K318" s="16">
        <v>1.1220000000000001</v>
      </c>
      <c r="L318" s="16">
        <f t="shared" si="22"/>
        <v>1.4870000000000001</v>
      </c>
      <c r="M318" s="17" t="s">
        <v>29</v>
      </c>
      <c r="N318" s="18">
        <v>100</v>
      </c>
      <c r="O318" s="18">
        <v>18</v>
      </c>
      <c r="P318" s="23">
        <v>0.2</v>
      </c>
      <c r="Q318" s="1" t="s">
        <v>2</v>
      </c>
      <c r="R318" s="20" t="str">
        <f t="shared" si="18"/>
        <v>horizontal</v>
      </c>
      <c r="S318" s="19">
        <v>0.2</v>
      </c>
      <c r="T318" s="19">
        <v>0</v>
      </c>
      <c r="U318" s="19">
        <v>0</v>
      </c>
      <c r="V318" s="20">
        <v>0</v>
      </c>
      <c r="W318" s="20">
        <v>-1</v>
      </c>
      <c r="Y318" s="18">
        <v>25</v>
      </c>
      <c r="Z318" s="15">
        <v>60.106666666666662</v>
      </c>
      <c r="AA318" s="16">
        <v>0.11</v>
      </c>
      <c r="AB318" s="16">
        <v>0.97</v>
      </c>
      <c r="AC318" s="16">
        <f t="shared" si="21"/>
        <v>0.40700000000000003</v>
      </c>
      <c r="AD318" s="21">
        <v>0.37977956195426699</v>
      </c>
      <c r="AE318" s="22" t="str">
        <f t="shared" si="19"/>
        <v>UC Berkeley Lab</v>
      </c>
      <c r="AF318" s="22" t="s">
        <v>59</v>
      </c>
    </row>
    <row r="319" spans="1:32" x14ac:dyDescent="0.2">
      <c r="A319" s="1">
        <v>491</v>
      </c>
      <c r="B319" s="13">
        <v>43875</v>
      </c>
      <c r="C319" s="1" t="s">
        <v>35</v>
      </c>
      <c r="D319" s="1" t="s">
        <v>4</v>
      </c>
      <c r="E319" s="1" t="s">
        <v>25</v>
      </c>
      <c r="F319" s="15">
        <v>0.64</v>
      </c>
      <c r="G319" s="15">
        <v>0</v>
      </c>
      <c r="H319" s="15">
        <v>4</v>
      </c>
      <c r="I319" s="15">
        <v>0.7</v>
      </c>
      <c r="J319" s="16">
        <v>0.36499999999999999</v>
      </c>
      <c r="K319" s="16">
        <v>1.1200000000000001</v>
      </c>
      <c r="L319" s="16">
        <f t="shared" ref="L319:L339" si="23">SUM(J319:K319)</f>
        <v>1.4850000000000001</v>
      </c>
      <c r="M319" s="17" t="s">
        <v>29</v>
      </c>
      <c r="N319" s="18">
        <v>100</v>
      </c>
      <c r="O319" s="18">
        <v>18</v>
      </c>
      <c r="P319" s="23">
        <v>0.1</v>
      </c>
      <c r="Q319" s="1" t="s">
        <v>2</v>
      </c>
      <c r="R319" s="20" t="str">
        <f t="shared" si="18"/>
        <v>horizontal</v>
      </c>
      <c r="S319" s="19">
        <v>0.1</v>
      </c>
      <c r="T319" s="19">
        <v>0</v>
      </c>
      <c r="U319" s="19">
        <v>0</v>
      </c>
      <c r="V319" s="20">
        <v>0</v>
      </c>
      <c r="W319" s="20">
        <v>-1</v>
      </c>
      <c r="Y319" s="18">
        <v>25</v>
      </c>
      <c r="Z319" s="15">
        <v>59.916666666666664</v>
      </c>
      <c r="AA319" s="16">
        <v>0.28999999999999998</v>
      </c>
      <c r="AB319" s="16">
        <v>0.41</v>
      </c>
      <c r="AC319" s="16">
        <f t="shared" si="21"/>
        <v>0.78500000000000014</v>
      </c>
      <c r="AD319" s="21">
        <v>0.673060980905821</v>
      </c>
      <c r="AE319" s="22" t="str">
        <f t="shared" si="19"/>
        <v>UC Berkeley Lab</v>
      </c>
      <c r="AF319" s="22"/>
    </row>
    <row r="320" spans="1:32" x14ac:dyDescent="0.2">
      <c r="A320" s="1">
        <v>502</v>
      </c>
      <c r="B320" s="13">
        <v>43875</v>
      </c>
      <c r="C320" s="1" t="s">
        <v>35</v>
      </c>
      <c r="D320" s="1" t="s">
        <v>4</v>
      </c>
      <c r="E320" s="1" t="s">
        <v>25</v>
      </c>
      <c r="F320" s="15">
        <v>0.64</v>
      </c>
      <c r="G320" s="15">
        <v>0</v>
      </c>
      <c r="H320" s="15">
        <v>4</v>
      </c>
      <c r="I320" s="15">
        <v>0.7</v>
      </c>
      <c r="J320" s="16">
        <v>0.36399999999999999</v>
      </c>
      <c r="K320" s="16">
        <v>1.119</v>
      </c>
      <c r="L320" s="16">
        <f t="shared" si="23"/>
        <v>1.4830000000000001</v>
      </c>
      <c r="M320" s="17" t="s">
        <v>29</v>
      </c>
      <c r="N320" s="18">
        <v>100</v>
      </c>
      <c r="O320" s="18">
        <v>24</v>
      </c>
      <c r="P320" s="23">
        <v>0.1</v>
      </c>
      <c r="Q320" s="1" t="s">
        <v>2</v>
      </c>
      <c r="R320" s="20" t="str">
        <f t="shared" si="18"/>
        <v>horizontal</v>
      </c>
      <c r="S320" s="19">
        <v>0.1</v>
      </c>
      <c r="T320" s="19">
        <v>0</v>
      </c>
      <c r="U320" s="19">
        <v>0</v>
      </c>
      <c r="V320" s="20">
        <v>0</v>
      </c>
      <c r="W320" s="20">
        <v>-1</v>
      </c>
      <c r="Y320" s="18">
        <v>25</v>
      </c>
      <c r="Z320" s="15">
        <v>40.020000000000003</v>
      </c>
      <c r="AA320" s="16">
        <v>0.26</v>
      </c>
      <c r="AB320" s="16">
        <v>0.37</v>
      </c>
      <c r="AC320" s="16">
        <f t="shared" si="21"/>
        <v>0.85300000000000009</v>
      </c>
      <c r="AD320" s="21">
        <v>0.90107965790923505</v>
      </c>
      <c r="AE320" s="22" t="str">
        <f t="shared" si="19"/>
        <v>UC Berkeley Lab</v>
      </c>
      <c r="AF320" s="22"/>
    </row>
    <row r="321" spans="1:32" x14ac:dyDescent="0.2">
      <c r="A321" s="1">
        <v>503</v>
      </c>
      <c r="B321" s="13">
        <v>43875</v>
      </c>
      <c r="C321" s="1" t="s">
        <v>35</v>
      </c>
      <c r="D321" s="1" t="s">
        <v>4</v>
      </c>
      <c r="E321" s="1" t="s">
        <v>25</v>
      </c>
      <c r="F321" s="15">
        <v>0.64</v>
      </c>
      <c r="G321" s="15">
        <v>0</v>
      </c>
      <c r="H321" s="15">
        <v>4</v>
      </c>
      <c r="I321" s="15">
        <v>0.7</v>
      </c>
      <c r="J321" s="16">
        <v>0.36599999999999999</v>
      </c>
      <c r="K321" s="16">
        <v>1.1240000000000001</v>
      </c>
      <c r="L321" s="16">
        <f t="shared" si="23"/>
        <v>1.4900000000000002</v>
      </c>
      <c r="M321" s="17" t="s">
        <v>29</v>
      </c>
      <c r="N321" s="18">
        <v>100</v>
      </c>
      <c r="O321" s="18">
        <v>24</v>
      </c>
      <c r="P321" s="23">
        <v>0.1</v>
      </c>
      <c r="Q321" s="1" t="s">
        <v>2</v>
      </c>
      <c r="R321" s="20" t="str">
        <f t="shared" si="18"/>
        <v>horizontal</v>
      </c>
      <c r="S321" s="19">
        <v>0.1</v>
      </c>
      <c r="T321" s="19">
        <v>0</v>
      </c>
      <c r="U321" s="19">
        <v>0</v>
      </c>
      <c r="V321" s="20">
        <v>0</v>
      </c>
      <c r="W321" s="20">
        <v>-1</v>
      </c>
      <c r="Y321" s="18">
        <v>25</v>
      </c>
      <c r="Z321" s="15">
        <v>40.129999999999995</v>
      </c>
      <c r="AA321" s="16">
        <v>0.25</v>
      </c>
      <c r="AB321" s="16">
        <v>0.36</v>
      </c>
      <c r="AC321" s="16">
        <f t="shared" si="21"/>
        <v>0.88000000000000023</v>
      </c>
      <c r="AD321" s="21">
        <v>0.79553583935595096</v>
      </c>
      <c r="AE321" s="22" t="str">
        <f t="shared" si="19"/>
        <v>UC Berkeley Lab</v>
      </c>
      <c r="AF321" s="22"/>
    </row>
    <row r="322" spans="1:32" x14ac:dyDescent="0.2">
      <c r="A322" s="1">
        <v>504</v>
      </c>
      <c r="B322" s="13">
        <v>43879</v>
      </c>
      <c r="C322" s="1" t="s">
        <v>35</v>
      </c>
      <c r="D322" s="1" t="s">
        <v>4</v>
      </c>
      <c r="E322" s="1" t="s">
        <v>25</v>
      </c>
      <c r="F322" s="15">
        <v>0.64</v>
      </c>
      <c r="G322" s="15">
        <v>0</v>
      </c>
      <c r="H322" s="15">
        <v>4</v>
      </c>
      <c r="I322" s="15">
        <v>0.7</v>
      </c>
      <c r="J322" s="16">
        <v>0.36599999999999999</v>
      </c>
      <c r="K322" s="16">
        <v>1.1220000000000001</v>
      </c>
      <c r="L322" s="16">
        <f t="shared" si="23"/>
        <v>1.488</v>
      </c>
      <c r="M322" s="17" t="s">
        <v>29</v>
      </c>
      <c r="N322" s="18">
        <v>100</v>
      </c>
      <c r="O322" s="18">
        <v>24</v>
      </c>
      <c r="P322" s="23">
        <v>0.1</v>
      </c>
      <c r="Q322" s="1" t="s">
        <v>2</v>
      </c>
      <c r="R322" s="20" t="str">
        <f t="shared" si="18"/>
        <v>horizontal</v>
      </c>
      <c r="S322" s="19">
        <v>0.1</v>
      </c>
      <c r="T322" s="19">
        <v>0</v>
      </c>
      <c r="U322" s="19">
        <v>0</v>
      </c>
      <c r="V322" s="20">
        <v>0</v>
      </c>
      <c r="W322" s="20">
        <v>-1</v>
      </c>
      <c r="Y322" s="18">
        <v>25</v>
      </c>
      <c r="Z322" s="15">
        <v>40.173333333333332</v>
      </c>
      <c r="AA322" s="16">
        <v>0.27</v>
      </c>
      <c r="AB322" s="16">
        <v>0.35</v>
      </c>
      <c r="AC322" s="16">
        <f t="shared" si="21"/>
        <v>0.86799999999999999</v>
      </c>
      <c r="AD322" s="21">
        <v>0.92393015774711396</v>
      </c>
      <c r="AE322" s="22" t="str">
        <f t="shared" si="19"/>
        <v>UC Berkeley Lab</v>
      </c>
      <c r="AF322" s="22"/>
    </row>
    <row r="323" spans="1:32" x14ac:dyDescent="0.2">
      <c r="A323" s="1">
        <v>505</v>
      </c>
      <c r="B323" s="13">
        <v>43879</v>
      </c>
      <c r="C323" s="1" t="s">
        <v>35</v>
      </c>
      <c r="D323" s="1" t="s">
        <v>4</v>
      </c>
      <c r="E323" s="1" t="s">
        <v>25</v>
      </c>
      <c r="F323" s="15">
        <v>0.64</v>
      </c>
      <c r="G323" s="15">
        <v>0</v>
      </c>
      <c r="H323" s="15">
        <v>4</v>
      </c>
      <c r="I323" s="15">
        <v>0.7</v>
      </c>
      <c r="J323" s="16">
        <v>0.36499999999999999</v>
      </c>
      <c r="K323" s="16">
        <v>1.127</v>
      </c>
      <c r="L323" s="16">
        <f t="shared" si="23"/>
        <v>1.492</v>
      </c>
      <c r="M323" s="17" t="s">
        <v>29</v>
      </c>
      <c r="N323" s="18">
        <v>100</v>
      </c>
      <c r="O323" s="18">
        <v>24</v>
      </c>
      <c r="P323" s="23">
        <v>0.1</v>
      </c>
      <c r="Q323" s="1" t="s">
        <v>2</v>
      </c>
      <c r="R323" s="20" t="str">
        <f t="shared" si="18"/>
        <v>horizontal</v>
      </c>
      <c r="S323" s="19">
        <v>0.1</v>
      </c>
      <c r="T323" s="19">
        <v>0</v>
      </c>
      <c r="U323" s="19">
        <v>0</v>
      </c>
      <c r="V323" s="20">
        <v>0</v>
      </c>
      <c r="W323" s="20">
        <v>-1</v>
      </c>
      <c r="Y323" s="18">
        <v>25</v>
      </c>
      <c r="Z323" s="15">
        <v>39.906666666666666</v>
      </c>
      <c r="AA323" s="16">
        <v>0.3</v>
      </c>
      <c r="AB323" s="16">
        <v>0.37</v>
      </c>
      <c r="AC323" s="16">
        <f t="shared" si="21"/>
        <v>0.82199999999999995</v>
      </c>
      <c r="AD323" s="21">
        <v>0.90929224782713702</v>
      </c>
      <c r="AE323" s="22" t="str">
        <f t="shared" si="19"/>
        <v>UC Berkeley Lab</v>
      </c>
      <c r="AF323" s="22"/>
    </row>
    <row r="324" spans="1:32" x14ac:dyDescent="0.2">
      <c r="A324" s="1">
        <v>506</v>
      </c>
      <c r="B324" s="13">
        <v>43879</v>
      </c>
      <c r="C324" s="1" t="s">
        <v>35</v>
      </c>
      <c r="D324" s="1" t="s">
        <v>4</v>
      </c>
      <c r="E324" s="1" t="s">
        <v>25</v>
      </c>
      <c r="F324" s="15">
        <v>0.64</v>
      </c>
      <c r="G324" s="15">
        <v>0</v>
      </c>
      <c r="H324" s="15">
        <v>4</v>
      </c>
      <c r="I324" s="15">
        <v>0.7</v>
      </c>
      <c r="J324" s="16">
        <v>0.36399999999999999</v>
      </c>
      <c r="K324" s="16">
        <v>1.1279999999999999</v>
      </c>
      <c r="L324" s="16">
        <f t="shared" si="23"/>
        <v>1.492</v>
      </c>
      <c r="M324" s="17" t="s">
        <v>29</v>
      </c>
      <c r="N324" s="18">
        <v>100</v>
      </c>
      <c r="O324" s="18">
        <v>24</v>
      </c>
      <c r="P324" s="23">
        <v>0.1</v>
      </c>
      <c r="Q324" s="1" t="s">
        <v>1</v>
      </c>
      <c r="R324" s="20" t="str">
        <f t="shared" ref="R324:R387" si="24">R323</f>
        <v>horizontal</v>
      </c>
      <c r="S324" s="19">
        <v>-0.1</v>
      </c>
      <c r="T324" s="19">
        <v>0</v>
      </c>
      <c r="U324" s="19">
        <v>0</v>
      </c>
      <c r="V324" s="20">
        <v>0</v>
      </c>
      <c r="W324" s="20">
        <v>-1</v>
      </c>
      <c r="Y324" s="18">
        <v>25</v>
      </c>
      <c r="Z324" s="15">
        <v>40.06666666666667</v>
      </c>
      <c r="AA324" s="16">
        <v>0.25</v>
      </c>
      <c r="AB324" s="16">
        <v>0.35</v>
      </c>
      <c r="AC324" s="16">
        <f t="shared" si="21"/>
        <v>0.89200000000000002</v>
      </c>
      <c r="AD324" s="21">
        <v>0.654916400469987</v>
      </c>
      <c r="AE324" s="22" t="str">
        <f t="shared" ref="AE324:AE387" si="25">AE323</f>
        <v>UC Berkeley Lab</v>
      </c>
      <c r="AF324" s="22"/>
    </row>
    <row r="325" spans="1:32" x14ac:dyDescent="0.2">
      <c r="A325" s="1">
        <v>507</v>
      </c>
      <c r="B325" s="13">
        <v>43879</v>
      </c>
      <c r="C325" s="1" t="s">
        <v>35</v>
      </c>
      <c r="D325" s="1" t="s">
        <v>4</v>
      </c>
      <c r="E325" s="1" t="s">
        <v>25</v>
      </c>
      <c r="F325" s="15">
        <v>0.64</v>
      </c>
      <c r="G325" s="15">
        <v>0</v>
      </c>
      <c r="H325" s="15">
        <v>4</v>
      </c>
      <c r="I325" s="15">
        <v>0.7</v>
      </c>
      <c r="J325" s="16">
        <v>0.36499999999999999</v>
      </c>
      <c r="K325" s="16">
        <v>1.121</v>
      </c>
      <c r="L325" s="16">
        <f t="shared" si="23"/>
        <v>1.486</v>
      </c>
      <c r="M325" s="17" t="s">
        <v>29</v>
      </c>
      <c r="N325" s="18">
        <v>100</v>
      </c>
      <c r="O325" s="18">
        <v>24</v>
      </c>
      <c r="P325" s="23">
        <v>0.1</v>
      </c>
      <c r="Q325" s="1" t="s">
        <v>1</v>
      </c>
      <c r="R325" s="20" t="str">
        <f t="shared" si="24"/>
        <v>horizontal</v>
      </c>
      <c r="S325" s="19">
        <v>-0.1</v>
      </c>
      <c r="T325" s="19">
        <v>0</v>
      </c>
      <c r="U325" s="19">
        <v>0</v>
      </c>
      <c r="V325" s="20">
        <v>0</v>
      </c>
      <c r="W325" s="20">
        <v>-1</v>
      </c>
      <c r="Y325" s="18">
        <v>25</v>
      </c>
      <c r="Z325" s="15">
        <v>40.086666666666673</v>
      </c>
      <c r="AA325" s="16">
        <v>0.25</v>
      </c>
      <c r="AB325" s="16">
        <v>0.37</v>
      </c>
      <c r="AC325" s="16">
        <f t="shared" si="21"/>
        <v>0.86599999999999999</v>
      </c>
      <c r="AD325" s="21">
        <v>0.64100721130972704</v>
      </c>
      <c r="AE325" s="22" t="str">
        <f t="shared" si="25"/>
        <v>UC Berkeley Lab</v>
      </c>
      <c r="AF325" s="22"/>
    </row>
    <row r="326" spans="1:32" x14ac:dyDescent="0.2">
      <c r="A326" s="1">
        <v>508</v>
      </c>
      <c r="B326" s="13">
        <v>43879</v>
      </c>
      <c r="C326" s="1" t="s">
        <v>35</v>
      </c>
      <c r="D326" s="1" t="s">
        <v>4</v>
      </c>
      <c r="E326" s="1" t="s">
        <v>25</v>
      </c>
      <c r="F326" s="15">
        <v>0.64</v>
      </c>
      <c r="G326" s="15">
        <v>0</v>
      </c>
      <c r="H326" s="15">
        <v>4</v>
      </c>
      <c r="I326" s="15">
        <v>0.7</v>
      </c>
      <c r="J326" s="16">
        <v>0.36499999999999999</v>
      </c>
      <c r="K326" s="16">
        <v>1.129</v>
      </c>
      <c r="L326" s="16">
        <f t="shared" si="23"/>
        <v>1.494</v>
      </c>
      <c r="M326" s="17" t="s">
        <v>29</v>
      </c>
      <c r="N326" s="18">
        <v>100</v>
      </c>
      <c r="O326" s="18">
        <v>24</v>
      </c>
      <c r="P326" s="23">
        <v>0.1</v>
      </c>
      <c r="Q326" s="1" t="s">
        <v>1</v>
      </c>
      <c r="R326" s="20" t="str">
        <f t="shared" si="24"/>
        <v>horizontal</v>
      </c>
      <c r="S326" s="19">
        <v>-0.1</v>
      </c>
      <c r="T326" s="19">
        <v>0</v>
      </c>
      <c r="U326" s="19">
        <v>0</v>
      </c>
      <c r="V326" s="20">
        <v>0</v>
      </c>
      <c r="W326" s="20">
        <v>-1</v>
      </c>
      <c r="Y326" s="18">
        <v>25</v>
      </c>
      <c r="Z326" s="15">
        <v>40.073333333333331</v>
      </c>
      <c r="AA326" s="16">
        <v>0.28000000000000003</v>
      </c>
      <c r="AB326" s="16">
        <v>0.36</v>
      </c>
      <c r="AC326" s="16">
        <f t="shared" si="21"/>
        <v>0.85399999999999998</v>
      </c>
      <c r="AD326" s="21">
        <v>0.60686466208201795</v>
      </c>
      <c r="AE326" s="22" t="str">
        <f t="shared" si="25"/>
        <v>UC Berkeley Lab</v>
      </c>
      <c r="AF326" s="22"/>
    </row>
    <row r="327" spans="1:32" x14ac:dyDescent="0.2">
      <c r="A327" s="1">
        <v>509</v>
      </c>
      <c r="B327" s="13">
        <v>43880</v>
      </c>
      <c r="C327" s="1" t="s">
        <v>35</v>
      </c>
      <c r="D327" s="1" t="s">
        <v>4</v>
      </c>
      <c r="E327" s="1" t="s">
        <v>25</v>
      </c>
      <c r="F327" s="15">
        <v>0.64</v>
      </c>
      <c r="G327" s="15">
        <v>0</v>
      </c>
      <c r="H327" s="15">
        <v>4</v>
      </c>
      <c r="I327" s="15">
        <v>0.7</v>
      </c>
      <c r="J327" s="16">
        <v>0.36399999999999999</v>
      </c>
      <c r="K327" s="16">
        <v>1.123</v>
      </c>
      <c r="L327" s="16">
        <f t="shared" si="23"/>
        <v>1.4870000000000001</v>
      </c>
      <c r="M327" s="17" t="s">
        <v>29</v>
      </c>
      <c r="N327" s="18">
        <v>100</v>
      </c>
      <c r="O327" s="18">
        <v>24</v>
      </c>
      <c r="P327" s="23">
        <v>0.1</v>
      </c>
      <c r="Q327" s="1" t="s">
        <v>1</v>
      </c>
      <c r="R327" s="20" t="str">
        <f t="shared" si="24"/>
        <v>horizontal</v>
      </c>
      <c r="S327" s="19">
        <v>-0.1</v>
      </c>
      <c r="T327" s="19">
        <v>0</v>
      </c>
      <c r="U327" s="19">
        <v>0</v>
      </c>
      <c r="V327" s="20">
        <v>0</v>
      </c>
      <c r="W327" s="20">
        <v>-1</v>
      </c>
      <c r="Y327" s="18">
        <v>25</v>
      </c>
      <c r="Z327" s="15">
        <v>40.229999999999997</v>
      </c>
      <c r="AA327" s="16">
        <v>0.25</v>
      </c>
      <c r="AB327" s="16">
        <v>0.37</v>
      </c>
      <c r="AC327" s="16">
        <f t="shared" si="21"/>
        <v>0.8670000000000001</v>
      </c>
      <c r="AD327" s="21">
        <v>0.63250708929274102</v>
      </c>
      <c r="AE327" s="22" t="str">
        <f t="shared" si="25"/>
        <v>UC Berkeley Lab</v>
      </c>
      <c r="AF327" s="22" t="s">
        <v>60</v>
      </c>
    </row>
    <row r="328" spans="1:32" x14ac:dyDescent="0.2">
      <c r="A328" s="1">
        <v>510</v>
      </c>
      <c r="B328" s="13">
        <v>43880</v>
      </c>
      <c r="C328" s="1" t="s">
        <v>35</v>
      </c>
      <c r="D328" s="1" t="s">
        <v>4</v>
      </c>
      <c r="E328" s="1" t="s">
        <v>25</v>
      </c>
      <c r="F328" s="15">
        <v>0.64</v>
      </c>
      <c r="G328" s="15">
        <v>0</v>
      </c>
      <c r="H328" s="15">
        <v>4</v>
      </c>
      <c r="I328" s="15">
        <v>0.7</v>
      </c>
      <c r="J328" s="16">
        <v>0.36399999999999999</v>
      </c>
      <c r="K328" s="16">
        <v>1.119</v>
      </c>
      <c r="L328" s="16">
        <f t="shared" si="23"/>
        <v>1.4830000000000001</v>
      </c>
      <c r="M328" s="17" t="s">
        <v>29</v>
      </c>
      <c r="N328" s="18">
        <v>100</v>
      </c>
      <c r="O328" s="18">
        <v>24</v>
      </c>
      <c r="P328" s="23">
        <v>0.1</v>
      </c>
      <c r="Q328" s="1" t="s">
        <v>1</v>
      </c>
      <c r="R328" s="20" t="str">
        <f t="shared" si="24"/>
        <v>horizontal</v>
      </c>
      <c r="S328" s="19">
        <v>-0.1</v>
      </c>
      <c r="T328" s="19">
        <v>0</v>
      </c>
      <c r="U328" s="19">
        <v>0</v>
      </c>
      <c r="V328" s="20">
        <v>0</v>
      </c>
      <c r="W328" s="20">
        <v>-1</v>
      </c>
      <c r="Y328" s="18">
        <v>25</v>
      </c>
      <c r="Z328" s="15">
        <v>40.169999999999995</v>
      </c>
      <c r="AA328" s="16">
        <v>0.25</v>
      </c>
      <c r="AB328" s="16">
        <v>0.36</v>
      </c>
      <c r="AC328" s="16">
        <f t="shared" si="21"/>
        <v>0.87300000000000011</v>
      </c>
      <c r="AD328" s="21">
        <v>0.61986967048664299</v>
      </c>
      <c r="AE328" s="22" t="str">
        <f t="shared" si="25"/>
        <v>UC Berkeley Lab</v>
      </c>
      <c r="AF328" s="22"/>
    </row>
    <row r="329" spans="1:32" x14ac:dyDescent="0.2">
      <c r="A329" s="1">
        <v>511</v>
      </c>
      <c r="B329" s="13">
        <v>43880</v>
      </c>
      <c r="C329" s="1" t="s">
        <v>35</v>
      </c>
      <c r="D329" s="1" t="s">
        <v>4</v>
      </c>
      <c r="E329" s="1" t="s">
        <v>25</v>
      </c>
      <c r="F329" s="15">
        <v>0.64</v>
      </c>
      <c r="G329" s="15">
        <v>0</v>
      </c>
      <c r="H329" s="15">
        <v>4</v>
      </c>
      <c r="I329" s="15">
        <v>0.7</v>
      </c>
      <c r="J329" s="16">
        <v>0.36499999999999999</v>
      </c>
      <c r="K329" s="16">
        <v>1.135</v>
      </c>
      <c r="L329" s="16">
        <f t="shared" si="23"/>
        <v>1.5</v>
      </c>
      <c r="M329" s="17" t="s">
        <v>29</v>
      </c>
      <c r="N329" s="18">
        <v>100</v>
      </c>
      <c r="O329" s="18">
        <v>24</v>
      </c>
      <c r="P329" s="23">
        <v>0.1</v>
      </c>
      <c r="Q329" s="1" t="s">
        <v>1</v>
      </c>
      <c r="R329" s="20" t="str">
        <f t="shared" si="24"/>
        <v>horizontal</v>
      </c>
      <c r="S329" s="19">
        <v>-0.1</v>
      </c>
      <c r="T329" s="19">
        <v>0</v>
      </c>
      <c r="U329" s="19">
        <v>0</v>
      </c>
      <c r="V329" s="20">
        <v>0</v>
      </c>
      <c r="W329" s="20">
        <v>-1</v>
      </c>
      <c r="Y329" s="18">
        <v>12</v>
      </c>
      <c r="Z329" s="15">
        <v>60.196666666666665</v>
      </c>
      <c r="AA329" s="16">
        <v>0.33</v>
      </c>
      <c r="AB329" s="16">
        <v>0.35</v>
      </c>
      <c r="AC329" s="16">
        <f t="shared" si="21"/>
        <v>0.82</v>
      </c>
      <c r="AD329" s="21">
        <v>0.71609888263822497</v>
      </c>
      <c r="AE329" s="22" t="str">
        <f t="shared" si="25"/>
        <v>UC Berkeley Lab</v>
      </c>
      <c r="AF329" s="22"/>
    </row>
    <row r="330" spans="1:32" x14ac:dyDescent="0.2">
      <c r="A330" s="1">
        <v>512</v>
      </c>
      <c r="B330" s="13">
        <v>43880</v>
      </c>
      <c r="C330" s="1" t="s">
        <v>35</v>
      </c>
      <c r="D330" s="1" t="s">
        <v>4</v>
      </c>
      <c r="E330" s="1" t="s">
        <v>25</v>
      </c>
      <c r="F330" s="15">
        <v>0.64</v>
      </c>
      <c r="G330" s="15">
        <v>0</v>
      </c>
      <c r="H330" s="15">
        <v>4</v>
      </c>
      <c r="I330" s="15">
        <v>0.7</v>
      </c>
      <c r="J330" s="16">
        <v>0.36599999999999999</v>
      </c>
      <c r="K330" s="16">
        <v>1.125</v>
      </c>
      <c r="L330" s="16">
        <f t="shared" si="23"/>
        <v>1.4910000000000001</v>
      </c>
      <c r="M330" s="17" t="s">
        <v>29</v>
      </c>
      <c r="N330" s="18">
        <v>100</v>
      </c>
      <c r="O330" s="18">
        <v>24</v>
      </c>
      <c r="P330" s="23">
        <v>0.1</v>
      </c>
      <c r="Q330" s="1" t="s">
        <v>1</v>
      </c>
      <c r="R330" s="20" t="str">
        <f t="shared" si="24"/>
        <v>horizontal</v>
      </c>
      <c r="S330" s="19">
        <v>-0.1</v>
      </c>
      <c r="T330" s="19">
        <v>0</v>
      </c>
      <c r="U330" s="19">
        <v>0</v>
      </c>
      <c r="V330" s="20">
        <v>0</v>
      </c>
      <c r="W330" s="20">
        <v>-1</v>
      </c>
      <c r="Y330" s="18">
        <v>18</v>
      </c>
      <c r="Z330" s="15">
        <v>59.873333333333335</v>
      </c>
      <c r="AA330" s="16">
        <v>0.33</v>
      </c>
      <c r="AB330" s="16">
        <v>0.35</v>
      </c>
      <c r="AC330" s="16">
        <f t="shared" si="21"/>
        <v>0.81100000000000005</v>
      </c>
      <c r="AD330" s="21">
        <v>0.670251989693605</v>
      </c>
      <c r="AE330" s="22" t="str">
        <f t="shared" si="25"/>
        <v>UC Berkeley Lab</v>
      </c>
      <c r="AF330" s="22"/>
    </row>
    <row r="331" spans="1:32" x14ac:dyDescent="0.2">
      <c r="A331" s="1">
        <v>513</v>
      </c>
      <c r="B331" s="13">
        <v>43880</v>
      </c>
      <c r="C331" s="1" t="s">
        <v>35</v>
      </c>
      <c r="D331" s="1" t="s">
        <v>4</v>
      </c>
      <c r="E331" s="1" t="s">
        <v>25</v>
      </c>
      <c r="F331" s="15">
        <v>0.64</v>
      </c>
      <c r="G331" s="15">
        <v>0</v>
      </c>
      <c r="H331" s="15">
        <v>4</v>
      </c>
      <c r="I331" s="15">
        <v>0.7</v>
      </c>
      <c r="J331" s="16">
        <v>0.36399999999999999</v>
      </c>
      <c r="K331" s="16">
        <v>1.1339999999999999</v>
      </c>
      <c r="L331" s="16">
        <f t="shared" si="23"/>
        <v>1.4979999999999998</v>
      </c>
      <c r="M331" s="17" t="s">
        <v>29</v>
      </c>
      <c r="N331" s="18">
        <v>100</v>
      </c>
      <c r="O331" s="18">
        <v>24</v>
      </c>
      <c r="P331" s="23">
        <v>0.1</v>
      </c>
      <c r="Q331" s="1" t="s">
        <v>1</v>
      </c>
      <c r="R331" s="20" t="str">
        <f t="shared" si="24"/>
        <v>horizontal</v>
      </c>
      <c r="S331" s="19">
        <v>-0.1</v>
      </c>
      <c r="T331" s="19">
        <v>0</v>
      </c>
      <c r="U331" s="19">
        <v>0</v>
      </c>
      <c r="V331" s="20">
        <v>0</v>
      </c>
      <c r="W331" s="20">
        <v>-1</v>
      </c>
      <c r="Y331" s="18">
        <v>18</v>
      </c>
      <c r="Z331" s="15">
        <v>60.04</v>
      </c>
      <c r="AA331" s="16">
        <v>0.33</v>
      </c>
      <c r="AB331" s="16">
        <v>0.36</v>
      </c>
      <c r="AC331" s="16">
        <f t="shared" si="21"/>
        <v>0.80799999999999972</v>
      </c>
      <c r="AD331" s="21">
        <v>0.70574064291571803</v>
      </c>
      <c r="AE331" s="22" t="str">
        <f t="shared" si="25"/>
        <v>UC Berkeley Lab</v>
      </c>
      <c r="AF331" s="22"/>
    </row>
    <row r="332" spans="1:32" x14ac:dyDescent="0.2">
      <c r="A332" s="1">
        <v>514</v>
      </c>
      <c r="B332" s="13">
        <v>43880</v>
      </c>
      <c r="C332" s="1" t="s">
        <v>35</v>
      </c>
      <c r="D332" s="1" t="s">
        <v>4</v>
      </c>
      <c r="E332" s="1" t="s">
        <v>25</v>
      </c>
      <c r="F332" s="15">
        <v>0.64</v>
      </c>
      <c r="G332" s="15">
        <v>0</v>
      </c>
      <c r="H332" s="15">
        <v>4</v>
      </c>
      <c r="I332" s="15">
        <v>0.7</v>
      </c>
      <c r="J332" s="16">
        <v>0.36499999999999999</v>
      </c>
      <c r="K332" s="16">
        <v>1.127</v>
      </c>
      <c r="L332" s="16">
        <f t="shared" si="23"/>
        <v>1.492</v>
      </c>
      <c r="M332" s="17" t="s">
        <v>29</v>
      </c>
      <c r="N332" s="18">
        <v>100</v>
      </c>
      <c r="O332" s="18">
        <v>24</v>
      </c>
      <c r="P332" s="23">
        <v>0.1</v>
      </c>
      <c r="Q332" s="1" t="s">
        <v>1</v>
      </c>
      <c r="R332" s="20" t="str">
        <f t="shared" si="24"/>
        <v>horizontal</v>
      </c>
      <c r="S332" s="19">
        <v>-0.1</v>
      </c>
      <c r="T332" s="19">
        <v>0</v>
      </c>
      <c r="U332" s="19">
        <v>0</v>
      </c>
      <c r="V332" s="20">
        <v>0</v>
      </c>
      <c r="W332" s="20">
        <v>-1</v>
      </c>
      <c r="Y332" s="18">
        <v>18</v>
      </c>
      <c r="Z332" s="15">
        <v>60.106666666666662</v>
      </c>
      <c r="AA332" s="16">
        <v>0.34</v>
      </c>
      <c r="AB332" s="16">
        <v>0.35</v>
      </c>
      <c r="AC332" s="16">
        <f t="shared" si="21"/>
        <v>0.80199999999999994</v>
      </c>
      <c r="AD332" s="21">
        <v>0.70476196770162403</v>
      </c>
      <c r="AE332" s="22" t="str">
        <f t="shared" si="25"/>
        <v>UC Berkeley Lab</v>
      </c>
      <c r="AF332" s="22"/>
    </row>
    <row r="333" spans="1:32" x14ac:dyDescent="0.2">
      <c r="A333" s="1">
        <v>515</v>
      </c>
      <c r="B333" s="13">
        <v>43880</v>
      </c>
      <c r="C333" s="1" t="s">
        <v>35</v>
      </c>
      <c r="D333" s="1" t="s">
        <v>4</v>
      </c>
      <c r="E333" s="1" t="s">
        <v>25</v>
      </c>
      <c r="F333" s="15">
        <v>0.64</v>
      </c>
      <c r="G333" s="15">
        <v>0</v>
      </c>
      <c r="H333" s="15">
        <v>4</v>
      </c>
      <c r="I333" s="15">
        <v>0.7</v>
      </c>
      <c r="J333" s="16">
        <v>0.36299999999999999</v>
      </c>
      <c r="K333" s="16">
        <v>1.1240000000000001</v>
      </c>
      <c r="L333" s="16">
        <f t="shared" si="23"/>
        <v>1.4870000000000001</v>
      </c>
      <c r="M333" s="17" t="s">
        <v>29</v>
      </c>
      <c r="N333" s="18">
        <v>100</v>
      </c>
      <c r="O333" s="18">
        <v>24</v>
      </c>
      <c r="P333" s="23">
        <v>0.1</v>
      </c>
      <c r="Q333" s="1" t="s">
        <v>1</v>
      </c>
      <c r="R333" s="20" t="str">
        <f t="shared" si="24"/>
        <v>horizontal</v>
      </c>
      <c r="S333" s="19">
        <v>-0.1</v>
      </c>
      <c r="T333" s="19">
        <v>0</v>
      </c>
      <c r="U333" s="19">
        <v>0</v>
      </c>
      <c r="V333" s="20">
        <v>0</v>
      </c>
      <c r="W333" s="20">
        <v>-1</v>
      </c>
      <c r="Y333" s="18">
        <v>18</v>
      </c>
      <c r="Z333" s="15">
        <v>60.116666666666667</v>
      </c>
      <c r="AA333" s="16">
        <v>0.33</v>
      </c>
      <c r="AB333" s="16">
        <v>0.36</v>
      </c>
      <c r="AC333" s="16">
        <f t="shared" si="21"/>
        <v>0.79700000000000004</v>
      </c>
      <c r="AD333" s="21">
        <v>0.73416797713436499</v>
      </c>
      <c r="AE333" s="22" t="str">
        <f t="shared" si="25"/>
        <v>UC Berkeley Lab</v>
      </c>
      <c r="AF333" s="22"/>
    </row>
    <row r="334" spans="1:32" x14ac:dyDescent="0.2">
      <c r="A334" s="1">
        <v>516</v>
      </c>
      <c r="B334" s="13">
        <v>43880</v>
      </c>
      <c r="C334" s="1" t="s">
        <v>35</v>
      </c>
      <c r="D334" s="1" t="s">
        <v>4</v>
      </c>
      <c r="E334" s="1" t="s">
        <v>25</v>
      </c>
      <c r="F334" s="15">
        <v>0.64</v>
      </c>
      <c r="G334" s="15">
        <v>0</v>
      </c>
      <c r="H334" s="15">
        <v>4</v>
      </c>
      <c r="I334" s="15">
        <v>0.7</v>
      </c>
      <c r="J334" s="16">
        <v>0.36399999999999999</v>
      </c>
      <c r="K334" s="16">
        <v>1.125</v>
      </c>
      <c r="L334" s="16">
        <f t="shared" si="23"/>
        <v>1.4889999999999999</v>
      </c>
      <c r="M334" s="17" t="s">
        <v>29</v>
      </c>
      <c r="N334" s="18">
        <v>100</v>
      </c>
      <c r="O334" s="18">
        <v>24</v>
      </c>
      <c r="P334" s="23">
        <v>0.1</v>
      </c>
      <c r="Q334" s="1" t="s">
        <v>1</v>
      </c>
      <c r="R334" s="20" t="str">
        <f t="shared" si="24"/>
        <v>horizontal</v>
      </c>
      <c r="S334" s="19">
        <v>-0.1</v>
      </c>
      <c r="T334" s="19">
        <v>0</v>
      </c>
      <c r="U334" s="19">
        <v>0</v>
      </c>
      <c r="V334" s="20">
        <v>0</v>
      </c>
      <c r="W334" s="20">
        <v>-1</v>
      </c>
      <c r="Y334" s="18">
        <v>18</v>
      </c>
      <c r="Z334" s="15">
        <v>59.78</v>
      </c>
      <c r="AA334" s="16">
        <v>0.32</v>
      </c>
      <c r="AB334" s="16">
        <v>0.37</v>
      </c>
      <c r="AC334" s="16">
        <f t="shared" si="21"/>
        <v>0.79899999999999982</v>
      </c>
      <c r="AD334" s="21">
        <v>0.75197252616607402</v>
      </c>
      <c r="AE334" s="22" t="str">
        <f t="shared" si="25"/>
        <v>UC Berkeley Lab</v>
      </c>
      <c r="AF334" s="22"/>
    </row>
    <row r="335" spans="1:32" x14ac:dyDescent="0.2">
      <c r="A335" s="1">
        <v>517</v>
      </c>
      <c r="B335" s="13">
        <v>43880</v>
      </c>
      <c r="C335" s="1" t="s">
        <v>35</v>
      </c>
      <c r="D335" s="1" t="s">
        <v>4</v>
      </c>
      <c r="E335" s="1" t="s">
        <v>25</v>
      </c>
      <c r="F335" s="15">
        <v>0.64</v>
      </c>
      <c r="G335" s="15">
        <v>0</v>
      </c>
      <c r="H335" s="15">
        <v>4</v>
      </c>
      <c r="I335" s="15">
        <v>0.7</v>
      </c>
      <c r="J335" s="16">
        <v>0.36599999999999999</v>
      </c>
      <c r="K335" s="16">
        <v>1.1240000000000001</v>
      </c>
      <c r="L335" s="16">
        <f t="shared" si="23"/>
        <v>1.4900000000000002</v>
      </c>
      <c r="M335" s="17" t="s">
        <v>29</v>
      </c>
      <c r="N335" s="18">
        <v>100</v>
      </c>
      <c r="O335" s="18">
        <v>24</v>
      </c>
      <c r="P335" s="23">
        <v>0.1</v>
      </c>
      <c r="Q335" s="1" t="s">
        <v>2</v>
      </c>
      <c r="R335" s="20" t="str">
        <f t="shared" si="24"/>
        <v>horizontal</v>
      </c>
      <c r="S335" s="19">
        <v>0.1</v>
      </c>
      <c r="T335" s="19">
        <v>0</v>
      </c>
      <c r="U335" s="19">
        <v>0</v>
      </c>
      <c r="V335" s="20">
        <v>0</v>
      </c>
      <c r="W335" s="20">
        <v>-1</v>
      </c>
      <c r="Y335" s="18">
        <v>18</v>
      </c>
      <c r="Z335" s="15">
        <v>59.74</v>
      </c>
      <c r="AA335" s="16">
        <v>0.31</v>
      </c>
      <c r="AB335" s="16">
        <v>0.36</v>
      </c>
      <c r="AC335" s="16">
        <f t="shared" si="21"/>
        <v>0.82000000000000017</v>
      </c>
      <c r="AD335" s="21">
        <v>0.92115796339543699</v>
      </c>
      <c r="AE335" s="22" t="str">
        <f t="shared" si="25"/>
        <v>UC Berkeley Lab</v>
      </c>
      <c r="AF335" s="22"/>
    </row>
    <row r="336" spans="1:32" x14ac:dyDescent="0.2">
      <c r="A336" s="1">
        <v>518</v>
      </c>
      <c r="B336" s="13">
        <v>43880</v>
      </c>
      <c r="C336" s="1" t="s">
        <v>35</v>
      </c>
      <c r="D336" s="1" t="s">
        <v>4</v>
      </c>
      <c r="E336" s="1" t="s">
        <v>25</v>
      </c>
      <c r="F336" s="15">
        <v>0.64</v>
      </c>
      <c r="G336" s="15">
        <v>0</v>
      </c>
      <c r="H336" s="15">
        <v>4</v>
      </c>
      <c r="I336" s="15">
        <v>0.7</v>
      </c>
      <c r="J336" s="16">
        <v>0.36499999999999999</v>
      </c>
      <c r="K336" s="16">
        <v>1.1339999999999999</v>
      </c>
      <c r="L336" s="16">
        <f t="shared" si="23"/>
        <v>1.4989999999999999</v>
      </c>
      <c r="M336" s="17" t="s">
        <v>29</v>
      </c>
      <c r="N336" s="18">
        <v>100</v>
      </c>
      <c r="O336" s="18">
        <v>24</v>
      </c>
      <c r="P336" s="23">
        <v>0.1</v>
      </c>
      <c r="Q336" s="1" t="s">
        <v>2</v>
      </c>
      <c r="R336" s="20" t="str">
        <f t="shared" si="24"/>
        <v>horizontal</v>
      </c>
      <c r="S336" s="19">
        <v>0.1</v>
      </c>
      <c r="T336" s="19">
        <v>0</v>
      </c>
      <c r="U336" s="19">
        <v>0</v>
      </c>
      <c r="V336" s="20">
        <v>0</v>
      </c>
      <c r="W336" s="20">
        <v>-1</v>
      </c>
      <c r="Y336" s="18">
        <v>18</v>
      </c>
      <c r="Z336" s="15">
        <v>59.949999999999996</v>
      </c>
      <c r="AA336" s="16">
        <v>0.36</v>
      </c>
      <c r="AB336" s="16">
        <v>0.31</v>
      </c>
      <c r="AC336" s="16">
        <f t="shared" si="21"/>
        <v>0.82899999999999974</v>
      </c>
      <c r="AD336" s="21">
        <v>0.93594348892357804</v>
      </c>
      <c r="AE336" s="22" t="str">
        <f t="shared" si="25"/>
        <v>UC Berkeley Lab</v>
      </c>
      <c r="AF336" s="22"/>
    </row>
    <row r="337" spans="1:32" x14ac:dyDescent="0.2">
      <c r="A337" s="1">
        <v>519</v>
      </c>
      <c r="B337" s="13">
        <v>43880</v>
      </c>
      <c r="C337" s="1" t="s">
        <v>35</v>
      </c>
      <c r="D337" s="1" t="s">
        <v>4</v>
      </c>
      <c r="E337" s="1" t="s">
        <v>25</v>
      </c>
      <c r="F337" s="15">
        <v>0.64</v>
      </c>
      <c r="G337" s="15">
        <v>0</v>
      </c>
      <c r="H337" s="15">
        <v>4</v>
      </c>
      <c r="I337" s="15">
        <v>0.7</v>
      </c>
      <c r="J337" s="16">
        <v>0.36499999999999999</v>
      </c>
      <c r="K337" s="16">
        <v>1.119</v>
      </c>
      <c r="L337" s="16">
        <f t="shared" si="23"/>
        <v>1.484</v>
      </c>
      <c r="M337" s="17" t="s">
        <v>29</v>
      </c>
      <c r="N337" s="18">
        <v>100</v>
      </c>
      <c r="O337" s="18">
        <v>24</v>
      </c>
      <c r="P337" s="23">
        <v>0.1</v>
      </c>
      <c r="Q337" s="1" t="s">
        <v>2</v>
      </c>
      <c r="R337" s="20" t="str">
        <f t="shared" si="24"/>
        <v>horizontal</v>
      </c>
      <c r="S337" s="19">
        <v>0.1</v>
      </c>
      <c r="T337" s="19">
        <v>0</v>
      </c>
      <c r="U337" s="19">
        <v>0</v>
      </c>
      <c r="V337" s="20">
        <v>0</v>
      </c>
      <c r="W337" s="20">
        <v>-1</v>
      </c>
      <c r="Y337" s="18">
        <v>18</v>
      </c>
      <c r="Z337" s="15">
        <v>60.103333333333332</v>
      </c>
      <c r="AA337" s="16">
        <v>0.33</v>
      </c>
      <c r="AB337" s="16">
        <v>0.36</v>
      </c>
      <c r="AC337" s="16">
        <f t="shared" si="21"/>
        <v>0.79399999999999993</v>
      </c>
      <c r="AD337" s="21">
        <v>0.96668439792283001</v>
      </c>
      <c r="AE337" s="22" t="str">
        <f t="shared" si="25"/>
        <v>UC Berkeley Lab</v>
      </c>
      <c r="AF337" s="22"/>
    </row>
    <row r="338" spans="1:32" x14ac:dyDescent="0.2">
      <c r="A338" s="1">
        <v>520</v>
      </c>
      <c r="B338" s="13">
        <v>43880</v>
      </c>
      <c r="C338" s="1" t="s">
        <v>35</v>
      </c>
      <c r="D338" s="1" t="s">
        <v>4</v>
      </c>
      <c r="E338" s="1" t="s">
        <v>25</v>
      </c>
      <c r="F338" s="15">
        <v>0.64</v>
      </c>
      <c r="G338" s="15">
        <v>0</v>
      </c>
      <c r="H338" s="15">
        <v>4</v>
      </c>
      <c r="I338" s="15">
        <v>0.7</v>
      </c>
      <c r="J338" s="16">
        <v>0.36499999999999999</v>
      </c>
      <c r="K338" s="16">
        <v>1.133</v>
      </c>
      <c r="L338" s="16">
        <f t="shared" si="23"/>
        <v>1.498</v>
      </c>
      <c r="M338" s="17" t="s">
        <v>29</v>
      </c>
      <c r="N338" s="18">
        <v>100</v>
      </c>
      <c r="O338" s="18">
        <v>24</v>
      </c>
      <c r="P338" s="23">
        <v>0.1</v>
      </c>
      <c r="Q338" s="1" t="s">
        <v>2</v>
      </c>
      <c r="R338" s="20" t="str">
        <f t="shared" si="24"/>
        <v>horizontal</v>
      </c>
      <c r="S338" s="19">
        <v>0.1</v>
      </c>
      <c r="T338" s="19">
        <v>0</v>
      </c>
      <c r="U338" s="19">
        <v>0</v>
      </c>
      <c r="V338" s="20">
        <v>0</v>
      </c>
      <c r="W338" s="20">
        <v>-1</v>
      </c>
      <c r="Y338" s="18">
        <v>18</v>
      </c>
      <c r="Z338" s="15">
        <v>60.20333333333334</v>
      </c>
      <c r="AA338" s="16">
        <v>0.37</v>
      </c>
      <c r="AB338" s="16">
        <v>0.37</v>
      </c>
      <c r="AC338" s="16">
        <f t="shared" si="21"/>
        <v>0.75800000000000012</v>
      </c>
      <c r="AD338" s="21">
        <v>1.0273388368096199</v>
      </c>
      <c r="AE338" s="22" t="str">
        <f t="shared" si="25"/>
        <v>UC Berkeley Lab</v>
      </c>
      <c r="AF338" s="22"/>
    </row>
    <row r="339" spans="1:32" x14ac:dyDescent="0.2">
      <c r="A339" s="1">
        <v>521</v>
      </c>
      <c r="B339" s="13">
        <v>43880</v>
      </c>
      <c r="C339" s="1" t="s">
        <v>35</v>
      </c>
      <c r="D339" s="1" t="s">
        <v>4</v>
      </c>
      <c r="E339" s="1" t="s">
        <v>25</v>
      </c>
      <c r="F339" s="15">
        <v>0.64</v>
      </c>
      <c r="G339" s="15">
        <v>0</v>
      </c>
      <c r="H339" s="15">
        <v>4</v>
      </c>
      <c r="I339" s="15">
        <v>0.7</v>
      </c>
      <c r="J339" s="16">
        <v>0.36399999999999999</v>
      </c>
      <c r="K339" s="16">
        <v>1.1339999999999999</v>
      </c>
      <c r="L339" s="16">
        <f t="shared" si="23"/>
        <v>1.4979999999999998</v>
      </c>
      <c r="M339" s="17" t="s">
        <v>29</v>
      </c>
      <c r="N339" s="18">
        <v>100</v>
      </c>
      <c r="O339" s="18">
        <v>24</v>
      </c>
      <c r="P339" s="23">
        <v>0.1</v>
      </c>
      <c r="Q339" s="1" t="s">
        <v>2</v>
      </c>
      <c r="R339" s="20" t="str">
        <f t="shared" si="24"/>
        <v>horizontal</v>
      </c>
      <c r="S339" s="19">
        <v>0.1</v>
      </c>
      <c r="T339" s="19">
        <v>0</v>
      </c>
      <c r="U339" s="19">
        <v>0</v>
      </c>
      <c r="V339" s="20">
        <v>0</v>
      </c>
      <c r="W339" s="20">
        <v>-1</v>
      </c>
      <c r="Y339" s="18">
        <v>18</v>
      </c>
      <c r="Z339" s="15">
        <v>60.233333333333327</v>
      </c>
      <c r="AA339" s="16">
        <v>0.37</v>
      </c>
      <c r="AB339" s="16">
        <v>0.37</v>
      </c>
      <c r="AC339" s="16">
        <f t="shared" si="21"/>
        <v>0.75799999999999967</v>
      </c>
      <c r="AD339" s="21">
        <v>0.93638175378183897</v>
      </c>
      <c r="AE339" s="22" t="str">
        <f t="shared" si="25"/>
        <v>UC Berkeley Lab</v>
      </c>
      <c r="AF339" s="22"/>
    </row>
    <row r="340" spans="1:32" x14ac:dyDescent="0.2">
      <c r="A340" s="1">
        <v>522</v>
      </c>
      <c r="B340" s="13">
        <v>43885</v>
      </c>
      <c r="C340" s="1" t="s">
        <v>35</v>
      </c>
      <c r="D340" s="1" t="s">
        <v>4</v>
      </c>
      <c r="E340" s="1" t="s">
        <v>25</v>
      </c>
      <c r="F340" s="15">
        <v>0.64</v>
      </c>
      <c r="G340" s="15">
        <v>0</v>
      </c>
      <c r="H340" s="15">
        <v>4</v>
      </c>
      <c r="I340" s="15">
        <v>0.7</v>
      </c>
      <c r="J340" s="16">
        <v>0.36599999999999999</v>
      </c>
      <c r="K340" s="16">
        <v>1.125</v>
      </c>
      <c r="L340" s="16">
        <f t="shared" ref="L340:L353" si="26">SUM(J340:K340)</f>
        <v>1.4910000000000001</v>
      </c>
      <c r="M340" s="17" t="s">
        <v>29</v>
      </c>
      <c r="N340" s="18">
        <v>100</v>
      </c>
      <c r="O340" s="18">
        <v>27</v>
      </c>
      <c r="P340" s="23">
        <v>0.1</v>
      </c>
      <c r="Q340" s="1" t="s">
        <v>2</v>
      </c>
      <c r="R340" s="20" t="str">
        <f t="shared" si="24"/>
        <v>horizontal</v>
      </c>
      <c r="S340" s="19">
        <v>0.1</v>
      </c>
      <c r="T340" s="19">
        <v>0</v>
      </c>
      <c r="U340" s="19">
        <v>0</v>
      </c>
      <c r="V340" s="20">
        <v>0</v>
      </c>
      <c r="W340" s="20">
        <v>-1</v>
      </c>
      <c r="Y340" s="18">
        <v>12</v>
      </c>
      <c r="Z340" s="15">
        <v>40.043333333333329</v>
      </c>
      <c r="AA340" s="16">
        <v>0.33</v>
      </c>
      <c r="AB340" s="16">
        <v>0.35</v>
      </c>
      <c r="AC340" s="16">
        <f t="shared" si="21"/>
        <v>0.81100000000000005</v>
      </c>
      <c r="AD340" s="21">
        <v>0.98949340056318702</v>
      </c>
      <c r="AE340" s="22" t="str">
        <f t="shared" si="25"/>
        <v>UC Berkeley Lab</v>
      </c>
      <c r="AF340" s="22"/>
    </row>
    <row r="341" spans="1:32" x14ac:dyDescent="0.2">
      <c r="A341" s="1">
        <v>523</v>
      </c>
      <c r="B341" s="13">
        <v>43885</v>
      </c>
      <c r="C341" s="1" t="s">
        <v>35</v>
      </c>
      <c r="D341" s="1" t="s">
        <v>4</v>
      </c>
      <c r="E341" s="1" t="s">
        <v>25</v>
      </c>
      <c r="F341" s="15">
        <v>0.64</v>
      </c>
      <c r="G341" s="15">
        <v>0</v>
      </c>
      <c r="H341" s="15">
        <v>4</v>
      </c>
      <c r="I341" s="15">
        <v>0.7</v>
      </c>
      <c r="J341" s="16">
        <v>0.36499999999999999</v>
      </c>
      <c r="K341" s="16">
        <v>1.1259999999999999</v>
      </c>
      <c r="L341" s="16">
        <f t="shared" si="26"/>
        <v>1.4909999999999999</v>
      </c>
      <c r="M341" s="17" t="s">
        <v>29</v>
      </c>
      <c r="N341" s="18">
        <v>100</v>
      </c>
      <c r="O341" s="18">
        <v>27</v>
      </c>
      <c r="P341" s="23">
        <v>0.1</v>
      </c>
      <c r="Q341" s="1" t="s">
        <v>2</v>
      </c>
      <c r="R341" s="20" t="str">
        <f t="shared" si="24"/>
        <v>horizontal</v>
      </c>
      <c r="S341" s="19">
        <v>0.1</v>
      </c>
      <c r="T341" s="19">
        <v>0</v>
      </c>
      <c r="U341" s="19">
        <v>0</v>
      </c>
      <c r="V341" s="20">
        <v>0</v>
      </c>
      <c r="W341" s="20">
        <v>-1</v>
      </c>
      <c r="Y341" s="18">
        <v>18</v>
      </c>
      <c r="Z341" s="15">
        <v>39.96</v>
      </c>
      <c r="AA341" s="16">
        <v>0.33</v>
      </c>
      <c r="AB341" s="16">
        <v>0.34</v>
      </c>
      <c r="AC341" s="16">
        <f t="shared" si="21"/>
        <v>0.82099999999999973</v>
      </c>
      <c r="AD341" s="21">
        <v>1.0056279298102699</v>
      </c>
      <c r="AE341" s="22" t="str">
        <f t="shared" si="25"/>
        <v>UC Berkeley Lab</v>
      </c>
      <c r="AF341" s="22"/>
    </row>
    <row r="342" spans="1:32" x14ac:dyDescent="0.2">
      <c r="A342" s="1">
        <v>524</v>
      </c>
      <c r="B342" s="13">
        <v>43885</v>
      </c>
      <c r="C342" s="1" t="s">
        <v>35</v>
      </c>
      <c r="D342" s="1" t="s">
        <v>4</v>
      </c>
      <c r="E342" s="1" t="s">
        <v>25</v>
      </c>
      <c r="F342" s="15">
        <v>0.64</v>
      </c>
      <c r="G342" s="15">
        <v>0</v>
      </c>
      <c r="H342" s="15">
        <v>4</v>
      </c>
      <c r="I342" s="15">
        <v>0.7</v>
      </c>
      <c r="J342" s="16">
        <v>0.36399999999999999</v>
      </c>
      <c r="K342" s="16">
        <v>1.133</v>
      </c>
      <c r="L342" s="16">
        <f t="shared" si="26"/>
        <v>1.4969999999999999</v>
      </c>
      <c r="M342" s="17" t="s">
        <v>29</v>
      </c>
      <c r="N342" s="18">
        <v>100</v>
      </c>
      <c r="O342" s="18">
        <v>27</v>
      </c>
      <c r="P342" s="23">
        <v>0.1</v>
      </c>
      <c r="Q342" s="1" t="s">
        <v>2</v>
      </c>
      <c r="R342" s="20" t="str">
        <f t="shared" si="24"/>
        <v>horizontal</v>
      </c>
      <c r="S342" s="19">
        <v>0.1</v>
      </c>
      <c r="T342" s="19">
        <v>0</v>
      </c>
      <c r="U342" s="19">
        <v>0</v>
      </c>
      <c r="V342" s="20">
        <v>0</v>
      </c>
      <c r="W342" s="20">
        <v>-1</v>
      </c>
      <c r="Y342" s="18">
        <v>20</v>
      </c>
      <c r="Z342" s="15">
        <v>40.186666666666667</v>
      </c>
      <c r="AA342" s="16">
        <v>0.33</v>
      </c>
      <c r="AB342" s="16">
        <v>0.36</v>
      </c>
      <c r="AC342" s="16">
        <f t="shared" si="21"/>
        <v>0.80699999999999983</v>
      </c>
      <c r="AD342" s="21">
        <v>0.95542015262679303</v>
      </c>
      <c r="AE342" s="22" t="str">
        <f t="shared" si="25"/>
        <v>UC Berkeley Lab</v>
      </c>
      <c r="AF342" s="22"/>
    </row>
    <row r="343" spans="1:32" x14ac:dyDescent="0.2">
      <c r="A343" s="1">
        <v>525</v>
      </c>
      <c r="B343" s="13">
        <v>43885</v>
      </c>
      <c r="C343" s="1" t="s">
        <v>35</v>
      </c>
      <c r="D343" s="1" t="s">
        <v>4</v>
      </c>
      <c r="E343" s="1" t="s">
        <v>25</v>
      </c>
      <c r="F343" s="15">
        <v>0.64</v>
      </c>
      <c r="G343" s="15">
        <v>0</v>
      </c>
      <c r="H343" s="15">
        <v>4</v>
      </c>
      <c r="I343" s="15">
        <v>0.7</v>
      </c>
      <c r="J343" s="16">
        <v>0.36399999999999999</v>
      </c>
      <c r="K343" s="16">
        <v>1.1200000000000001</v>
      </c>
      <c r="L343" s="16">
        <f t="shared" si="26"/>
        <v>1.484</v>
      </c>
      <c r="M343" s="17" t="s">
        <v>29</v>
      </c>
      <c r="N343" s="18">
        <v>100</v>
      </c>
      <c r="O343" s="18">
        <v>27</v>
      </c>
      <c r="P343" s="23">
        <v>0.1</v>
      </c>
      <c r="Q343" s="1" t="s">
        <v>2</v>
      </c>
      <c r="R343" s="20" t="str">
        <f t="shared" si="24"/>
        <v>horizontal</v>
      </c>
      <c r="S343" s="19">
        <v>0.1</v>
      </c>
      <c r="T343" s="19">
        <v>0</v>
      </c>
      <c r="U343" s="19">
        <v>0</v>
      </c>
      <c r="V343" s="20">
        <v>0</v>
      </c>
      <c r="W343" s="20">
        <v>-1</v>
      </c>
      <c r="Y343" s="18">
        <v>20</v>
      </c>
      <c r="Z343" s="15">
        <v>40.140000000000008</v>
      </c>
      <c r="AA343" s="16">
        <v>0.34</v>
      </c>
      <c r="AB343" s="16">
        <v>0.35</v>
      </c>
      <c r="AC343" s="16">
        <f t="shared" si="21"/>
        <v>0.79399999999999993</v>
      </c>
      <c r="AD343" s="21">
        <v>1.01220647276411</v>
      </c>
      <c r="AE343" s="22" t="str">
        <f t="shared" si="25"/>
        <v>UC Berkeley Lab</v>
      </c>
      <c r="AF343" s="22"/>
    </row>
    <row r="344" spans="1:32" x14ac:dyDescent="0.2">
      <c r="A344" s="1">
        <v>526</v>
      </c>
      <c r="B344" s="13">
        <v>43885</v>
      </c>
      <c r="C344" s="1" t="s">
        <v>35</v>
      </c>
      <c r="D344" s="1" t="s">
        <v>4</v>
      </c>
      <c r="E344" s="1" t="s">
        <v>25</v>
      </c>
      <c r="F344" s="15">
        <v>0.64</v>
      </c>
      <c r="G344" s="15">
        <v>0</v>
      </c>
      <c r="H344" s="15">
        <v>4</v>
      </c>
      <c r="I344" s="15">
        <v>0.7</v>
      </c>
      <c r="J344" s="16">
        <v>0.36299999999999999</v>
      </c>
      <c r="K344" s="16">
        <v>1.1339999999999999</v>
      </c>
      <c r="L344" s="16">
        <f t="shared" si="26"/>
        <v>1.4969999999999999</v>
      </c>
      <c r="M344" s="17" t="s">
        <v>29</v>
      </c>
      <c r="N344" s="18">
        <v>100</v>
      </c>
      <c r="O344" s="18">
        <v>27</v>
      </c>
      <c r="P344" s="23">
        <v>0.1</v>
      </c>
      <c r="Q344" s="1" t="s">
        <v>2</v>
      </c>
      <c r="R344" s="20" t="str">
        <f t="shared" si="24"/>
        <v>horizontal</v>
      </c>
      <c r="S344" s="19">
        <v>0.1</v>
      </c>
      <c r="T344" s="19">
        <v>0</v>
      </c>
      <c r="U344" s="19">
        <v>0</v>
      </c>
      <c r="V344" s="20">
        <v>0</v>
      </c>
      <c r="W344" s="20">
        <v>-1</v>
      </c>
      <c r="Y344" s="18">
        <v>20</v>
      </c>
      <c r="Z344" s="15">
        <v>39.916666666666664</v>
      </c>
      <c r="AA344" s="16">
        <v>0.35</v>
      </c>
      <c r="AB344" s="16">
        <v>0.35</v>
      </c>
      <c r="AC344" s="16">
        <f t="shared" si="21"/>
        <v>0.79699999999999982</v>
      </c>
      <c r="AD344" s="21">
        <v>1.0106024561558999</v>
      </c>
      <c r="AE344" s="22" t="str">
        <f t="shared" si="25"/>
        <v>UC Berkeley Lab</v>
      </c>
      <c r="AF344" s="22"/>
    </row>
    <row r="345" spans="1:32" x14ac:dyDescent="0.2">
      <c r="A345" s="1">
        <v>527</v>
      </c>
      <c r="B345" s="13">
        <v>43885</v>
      </c>
      <c r="C345" s="1" t="s">
        <v>35</v>
      </c>
      <c r="D345" s="1" t="s">
        <v>4</v>
      </c>
      <c r="E345" s="1" t="s">
        <v>25</v>
      </c>
      <c r="F345" s="15">
        <v>0.64</v>
      </c>
      <c r="G345" s="15">
        <v>0</v>
      </c>
      <c r="H345" s="15">
        <v>4</v>
      </c>
      <c r="I345" s="15">
        <v>0.7</v>
      </c>
      <c r="J345" s="16">
        <v>0.36299999999999999</v>
      </c>
      <c r="K345" s="16">
        <v>1.135</v>
      </c>
      <c r="L345" s="16">
        <f t="shared" si="26"/>
        <v>1.498</v>
      </c>
      <c r="M345" s="17" t="s">
        <v>29</v>
      </c>
      <c r="N345" s="18">
        <v>100</v>
      </c>
      <c r="O345" s="18">
        <v>27</v>
      </c>
      <c r="P345" s="23">
        <v>0.1</v>
      </c>
      <c r="Q345" s="1" t="s">
        <v>1</v>
      </c>
      <c r="R345" s="20" t="str">
        <f t="shared" si="24"/>
        <v>horizontal</v>
      </c>
      <c r="S345" s="19">
        <v>-0.1</v>
      </c>
      <c r="T345" s="19">
        <v>0</v>
      </c>
      <c r="U345" s="19">
        <v>0</v>
      </c>
      <c r="V345" s="20">
        <v>0</v>
      </c>
      <c r="W345" s="20">
        <v>-1</v>
      </c>
      <c r="Y345" s="18">
        <v>20</v>
      </c>
      <c r="Z345" s="15">
        <v>40.063333333333333</v>
      </c>
      <c r="AA345" s="16">
        <v>0.28000000000000003</v>
      </c>
      <c r="AB345" s="16">
        <v>0.35</v>
      </c>
      <c r="AC345" s="16">
        <f t="shared" si="21"/>
        <v>0.86799999999999999</v>
      </c>
      <c r="AD345" s="21">
        <v>0.727451347098511</v>
      </c>
      <c r="AE345" s="22" t="str">
        <f t="shared" si="25"/>
        <v>UC Berkeley Lab</v>
      </c>
      <c r="AF345" s="22"/>
    </row>
    <row r="346" spans="1:32" x14ac:dyDescent="0.2">
      <c r="A346" s="1">
        <v>528</v>
      </c>
      <c r="B346" s="13">
        <v>43885</v>
      </c>
      <c r="C346" s="1" t="s">
        <v>35</v>
      </c>
      <c r="D346" s="1" t="s">
        <v>4</v>
      </c>
      <c r="E346" s="1" t="s">
        <v>25</v>
      </c>
      <c r="F346" s="15">
        <v>0.64</v>
      </c>
      <c r="G346" s="15">
        <v>0</v>
      </c>
      <c r="H346" s="15">
        <v>4</v>
      </c>
      <c r="I346" s="15">
        <v>0.7</v>
      </c>
      <c r="J346" s="16">
        <v>0.36399999999999999</v>
      </c>
      <c r="K346" s="16">
        <v>1.1259999999999999</v>
      </c>
      <c r="L346" s="16">
        <f t="shared" si="26"/>
        <v>1.4899999999999998</v>
      </c>
      <c r="M346" s="17" t="s">
        <v>29</v>
      </c>
      <c r="N346" s="18">
        <v>100</v>
      </c>
      <c r="O346" s="18">
        <v>27</v>
      </c>
      <c r="P346" s="23">
        <v>0.1</v>
      </c>
      <c r="Q346" s="1" t="s">
        <v>1</v>
      </c>
      <c r="R346" s="20" t="str">
        <f t="shared" si="24"/>
        <v>horizontal</v>
      </c>
      <c r="S346" s="19">
        <v>-0.1</v>
      </c>
      <c r="T346" s="19">
        <v>0</v>
      </c>
      <c r="U346" s="19">
        <v>0</v>
      </c>
      <c r="V346" s="20">
        <v>0</v>
      </c>
      <c r="W346" s="20">
        <v>-1</v>
      </c>
      <c r="Y346" s="18">
        <v>13</v>
      </c>
      <c r="Z346" s="15">
        <v>39.873333333333335</v>
      </c>
      <c r="AA346" s="16">
        <v>0.23</v>
      </c>
      <c r="AB346" s="16">
        <v>0.35</v>
      </c>
      <c r="AC346" s="16">
        <f t="shared" si="21"/>
        <v>0.90999999999999981</v>
      </c>
      <c r="AD346" s="21">
        <v>0.81272010777030501</v>
      </c>
      <c r="AE346" s="22" t="str">
        <f t="shared" si="25"/>
        <v>UC Berkeley Lab</v>
      </c>
      <c r="AF346" s="22"/>
    </row>
    <row r="347" spans="1:32" x14ac:dyDescent="0.2">
      <c r="A347" s="1">
        <v>529</v>
      </c>
      <c r="B347" s="13">
        <v>43885</v>
      </c>
      <c r="C347" s="1" t="s">
        <v>35</v>
      </c>
      <c r="D347" s="1" t="s">
        <v>4</v>
      </c>
      <c r="E347" s="1" t="s">
        <v>25</v>
      </c>
      <c r="F347" s="15">
        <v>0.64</v>
      </c>
      <c r="G347" s="15">
        <v>0</v>
      </c>
      <c r="H347" s="15">
        <v>4</v>
      </c>
      <c r="I347" s="15">
        <v>0.7</v>
      </c>
      <c r="J347" s="16">
        <v>0.36299999999999999</v>
      </c>
      <c r="K347" s="16">
        <v>1.1299999999999999</v>
      </c>
      <c r="L347" s="16">
        <f t="shared" si="26"/>
        <v>1.4929999999999999</v>
      </c>
      <c r="M347" s="17" t="s">
        <v>29</v>
      </c>
      <c r="N347" s="18">
        <v>100</v>
      </c>
      <c r="O347" s="18">
        <v>27</v>
      </c>
      <c r="P347" s="23">
        <v>0.1</v>
      </c>
      <c r="Q347" s="1" t="s">
        <v>1</v>
      </c>
      <c r="R347" s="20" t="str">
        <f t="shared" si="24"/>
        <v>horizontal</v>
      </c>
      <c r="S347" s="19">
        <v>-0.1</v>
      </c>
      <c r="T347" s="19">
        <v>0</v>
      </c>
      <c r="U347" s="19">
        <v>0</v>
      </c>
      <c r="V347" s="20">
        <v>0</v>
      </c>
      <c r="W347" s="20">
        <v>-1</v>
      </c>
      <c r="Y347" s="18">
        <v>18</v>
      </c>
      <c r="Z347" s="15">
        <v>40.113333333333337</v>
      </c>
      <c r="AA347" s="16">
        <v>0.28999999999999998</v>
      </c>
      <c r="AB347" s="16">
        <v>0.35</v>
      </c>
      <c r="AC347" s="16">
        <f t="shared" si="21"/>
        <v>0.85299999999999987</v>
      </c>
      <c r="AD347" s="21">
        <v>0.77850653716005402</v>
      </c>
      <c r="AE347" s="22" t="str">
        <f t="shared" si="25"/>
        <v>UC Berkeley Lab</v>
      </c>
      <c r="AF347" s="22"/>
    </row>
    <row r="348" spans="1:32" x14ac:dyDescent="0.2">
      <c r="A348" s="1">
        <v>530</v>
      </c>
      <c r="B348" s="13">
        <v>43885</v>
      </c>
      <c r="C348" s="1" t="s">
        <v>35</v>
      </c>
      <c r="D348" s="1" t="s">
        <v>4</v>
      </c>
      <c r="E348" s="1" t="s">
        <v>25</v>
      </c>
      <c r="F348" s="15">
        <v>0.64</v>
      </c>
      <c r="G348" s="15">
        <v>0</v>
      </c>
      <c r="H348" s="15">
        <v>4</v>
      </c>
      <c r="I348" s="15">
        <v>0.7</v>
      </c>
      <c r="J348" s="16">
        <v>0.36599999999999999</v>
      </c>
      <c r="K348" s="16">
        <v>1.129</v>
      </c>
      <c r="L348" s="16">
        <f t="shared" si="26"/>
        <v>1.4950000000000001</v>
      </c>
      <c r="M348" s="17" t="s">
        <v>29</v>
      </c>
      <c r="N348" s="18">
        <v>100</v>
      </c>
      <c r="O348" s="18">
        <v>27</v>
      </c>
      <c r="P348" s="23">
        <v>0.1</v>
      </c>
      <c r="Q348" s="1" t="s">
        <v>1</v>
      </c>
      <c r="R348" s="20" t="str">
        <f t="shared" si="24"/>
        <v>horizontal</v>
      </c>
      <c r="S348" s="19">
        <v>-0.1</v>
      </c>
      <c r="T348" s="19">
        <v>0</v>
      </c>
      <c r="U348" s="19">
        <v>0</v>
      </c>
      <c r="V348" s="20">
        <v>0</v>
      </c>
      <c r="W348" s="20">
        <v>-1</v>
      </c>
      <c r="Y348" s="18">
        <v>20</v>
      </c>
      <c r="Z348" s="15">
        <v>39.963333333333331</v>
      </c>
      <c r="AA348" s="16">
        <v>0.23</v>
      </c>
      <c r="AB348" s="16">
        <v>0.35</v>
      </c>
      <c r="AC348" s="16">
        <f t="shared" si="21"/>
        <v>0.91500000000000015</v>
      </c>
      <c r="AD348" s="21">
        <v>0.80365728734084596</v>
      </c>
      <c r="AE348" s="22" t="str">
        <f t="shared" si="25"/>
        <v>UC Berkeley Lab</v>
      </c>
      <c r="AF348" s="22"/>
    </row>
    <row r="349" spans="1:32" x14ac:dyDescent="0.2">
      <c r="A349" s="1">
        <v>531</v>
      </c>
      <c r="B349" s="13">
        <v>43885</v>
      </c>
      <c r="C349" s="1" t="s">
        <v>35</v>
      </c>
      <c r="D349" s="1" t="s">
        <v>4</v>
      </c>
      <c r="E349" s="1" t="s">
        <v>25</v>
      </c>
      <c r="F349" s="15">
        <v>0.64</v>
      </c>
      <c r="G349" s="15">
        <v>0</v>
      </c>
      <c r="H349" s="15">
        <v>4</v>
      </c>
      <c r="I349" s="15">
        <v>0.7</v>
      </c>
      <c r="J349" s="16">
        <v>0.36399999999999999</v>
      </c>
      <c r="K349" s="16">
        <v>1.1359999999999999</v>
      </c>
      <c r="L349" s="16">
        <f t="shared" si="26"/>
        <v>1.5</v>
      </c>
      <c r="M349" s="17" t="s">
        <v>29</v>
      </c>
      <c r="N349" s="18">
        <v>100</v>
      </c>
      <c r="O349" s="18">
        <v>27</v>
      </c>
      <c r="P349" s="23">
        <v>0.1</v>
      </c>
      <c r="Q349" s="1" t="s">
        <v>1</v>
      </c>
      <c r="R349" s="20" t="str">
        <f t="shared" si="24"/>
        <v>horizontal</v>
      </c>
      <c r="S349" s="19">
        <v>-0.1</v>
      </c>
      <c r="T349" s="19">
        <v>0</v>
      </c>
      <c r="U349" s="19">
        <v>0</v>
      </c>
      <c r="V349" s="20">
        <v>0</v>
      </c>
      <c r="W349" s="20">
        <v>-1</v>
      </c>
      <c r="Y349" s="18">
        <v>20</v>
      </c>
      <c r="Z349" s="15">
        <v>40.03</v>
      </c>
      <c r="AA349" s="16">
        <v>0.24</v>
      </c>
      <c r="AB349" s="16">
        <v>0.35</v>
      </c>
      <c r="AC349" s="16">
        <f t="shared" si="21"/>
        <v>0.91</v>
      </c>
      <c r="AD349" s="21">
        <v>0.72684975568478505</v>
      </c>
      <c r="AE349" s="22" t="str">
        <f t="shared" si="25"/>
        <v>UC Berkeley Lab</v>
      </c>
      <c r="AF349" s="22"/>
    </row>
    <row r="350" spans="1:32" x14ac:dyDescent="0.2">
      <c r="A350" s="1">
        <v>532</v>
      </c>
      <c r="B350" s="13">
        <v>43885</v>
      </c>
      <c r="C350" s="1" t="s">
        <v>35</v>
      </c>
      <c r="D350" s="1" t="s">
        <v>4</v>
      </c>
      <c r="E350" s="1" t="s">
        <v>25</v>
      </c>
      <c r="F350" s="15">
        <v>0.64</v>
      </c>
      <c r="G350" s="15">
        <v>0</v>
      </c>
      <c r="H350" s="15">
        <v>4</v>
      </c>
      <c r="I350" s="15">
        <v>0.7</v>
      </c>
      <c r="J350" s="16">
        <v>0.36599999999999999</v>
      </c>
      <c r="K350" s="16">
        <v>1.129</v>
      </c>
      <c r="L350" s="16">
        <f t="shared" si="26"/>
        <v>1.4950000000000001</v>
      </c>
      <c r="M350" s="17" t="s">
        <v>29</v>
      </c>
      <c r="N350" s="18">
        <v>100</v>
      </c>
      <c r="O350" s="18">
        <v>27</v>
      </c>
      <c r="P350" s="23">
        <v>0.1</v>
      </c>
      <c r="Q350" s="1" t="s">
        <v>1</v>
      </c>
      <c r="R350" s="20" t="str">
        <f t="shared" si="24"/>
        <v>horizontal</v>
      </c>
      <c r="S350" s="19">
        <v>-0.1</v>
      </c>
      <c r="T350" s="19">
        <v>0</v>
      </c>
      <c r="U350" s="19">
        <v>0</v>
      </c>
      <c r="V350" s="20">
        <v>0</v>
      </c>
      <c r="W350" s="20">
        <v>-1</v>
      </c>
      <c r="Y350" s="18">
        <v>18</v>
      </c>
      <c r="Z350" s="15">
        <v>60.243333333333332</v>
      </c>
      <c r="AA350" s="16">
        <v>0.35</v>
      </c>
      <c r="AB350" s="16">
        <v>0.35</v>
      </c>
      <c r="AC350" s="16">
        <f t="shared" si="21"/>
        <v>0.79500000000000004</v>
      </c>
      <c r="AD350" s="21">
        <v>0.85926369151604798</v>
      </c>
      <c r="AE350" s="22" t="str">
        <f t="shared" si="25"/>
        <v>UC Berkeley Lab</v>
      </c>
      <c r="AF350" s="22"/>
    </row>
    <row r="351" spans="1:32" x14ac:dyDescent="0.2">
      <c r="A351" s="1">
        <v>533</v>
      </c>
      <c r="B351" s="13">
        <v>43885</v>
      </c>
      <c r="C351" s="1" t="s">
        <v>35</v>
      </c>
      <c r="D351" s="1" t="s">
        <v>4</v>
      </c>
      <c r="E351" s="1" t="s">
        <v>25</v>
      </c>
      <c r="F351" s="15">
        <v>0.64</v>
      </c>
      <c r="G351" s="15">
        <v>0</v>
      </c>
      <c r="H351" s="15">
        <v>4</v>
      </c>
      <c r="I351" s="15">
        <v>0.7</v>
      </c>
      <c r="J351" s="16">
        <v>0.36499999999999999</v>
      </c>
      <c r="K351" s="16">
        <v>1.1279999999999999</v>
      </c>
      <c r="L351" s="16">
        <f t="shared" si="26"/>
        <v>1.4929999999999999</v>
      </c>
      <c r="M351" s="17" t="s">
        <v>29</v>
      </c>
      <c r="N351" s="18">
        <v>100</v>
      </c>
      <c r="O351" s="18">
        <v>27</v>
      </c>
      <c r="P351" s="23">
        <v>0.1</v>
      </c>
      <c r="Q351" s="1" t="s">
        <v>2</v>
      </c>
      <c r="R351" s="20" t="str">
        <f t="shared" si="24"/>
        <v>horizontal</v>
      </c>
      <c r="S351" s="19">
        <v>0.1</v>
      </c>
      <c r="T351" s="19">
        <v>0</v>
      </c>
      <c r="U351" s="19">
        <v>0</v>
      </c>
      <c r="V351" s="20">
        <v>0</v>
      </c>
      <c r="W351" s="20">
        <v>-1</v>
      </c>
      <c r="Y351" s="18">
        <v>20</v>
      </c>
      <c r="Z351" s="15">
        <v>60.006666666666668</v>
      </c>
      <c r="AA351" s="16">
        <v>0.35</v>
      </c>
      <c r="AB351" s="16">
        <v>0.35</v>
      </c>
      <c r="AC351" s="16">
        <f t="shared" si="21"/>
        <v>0.79299999999999982</v>
      </c>
      <c r="AD351" s="21">
        <v>1.15854542426933</v>
      </c>
      <c r="AE351" s="22" t="str">
        <f t="shared" si="25"/>
        <v>UC Berkeley Lab</v>
      </c>
      <c r="AF351" s="22"/>
    </row>
    <row r="352" spans="1:32" x14ac:dyDescent="0.2">
      <c r="A352" s="1">
        <v>534</v>
      </c>
      <c r="B352" s="13">
        <v>43885</v>
      </c>
      <c r="C352" s="1" t="s">
        <v>35</v>
      </c>
      <c r="D352" s="1" t="s">
        <v>4</v>
      </c>
      <c r="E352" s="1" t="s">
        <v>25</v>
      </c>
      <c r="F352" s="15">
        <v>0.64</v>
      </c>
      <c r="G352" s="15">
        <v>0</v>
      </c>
      <c r="H352" s="15">
        <v>4</v>
      </c>
      <c r="I352" s="15">
        <v>0.7</v>
      </c>
      <c r="J352" s="16">
        <v>0.36699999999999999</v>
      </c>
      <c r="K352" s="16">
        <v>1.1339999999999999</v>
      </c>
      <c r="L352" s="16">
        <f t="shared" si="26"/>
        <v>1.5009999999999999</v>
      </c>
      <c r="M352" s="17" t="s">
        <v>29</v>
      </c>
      <c r="N352" s="18">
        <v>100</v>
      </c>
      <c r="O352" s="18">
        <v>27</v>
      </c>
      <c r="P352" s="23">
        <v>0.1</v>
      </c>
      <c r="Q352" s="1" t="s">
        <v>2</v>
      </c>
      <c r="R352" s="20" t="str">
        <f t="shared" si="24"/>
        <v>horizontal</v>
      </c>
      <c r="S352" s="19">
        <v>0.1</v>
      </c>
      <c r="T352" s="19">
        <v>0</v>
      </c>
      <c r="U352" s="19">
        <v>0</v>
      </c>
      <c r="V352" s="20">
        <v>0</v>
      </c>
      <c r="W352" s="20">
        <v>-1</v>
      </c>
      <c r="Y352" s="18">
        <v>20</v>
      </c>
      <c r="Z352" s="15">
        <v>60.106666666666662</v>
      </c>
      <c r="AA352" s="16">
        <v>0.32</v>
      </c>
      <c r="AB352" s="16">
        <v>0.3</v>
      </c>
      <c r="AC352" s="16">
        <f t="shared" si="21"/>
        <v>0.88099999999999978</v>
      </c>
      <c r="AD352" s="21">
        <v>1.1050772465143499</v>
      </c>
      <c r="AE352" s="22" t="str">
        <f t="shared" si="25"/>
        <v>UC Berkeley Lab</v>
      </c>
      <c r="AF352" s="22"/>
    </row>
    <row r="353" spans="1:32" x14ac:dyDescent="0.2">
      <c r="A353" s="1">
        <v>535</v>
      </c>
      <c r="B353" s="13">
        <v>43885</v>
      </c>
      <c r="C353" s="1" t="s">
        <v>35</v>
      </c>
      <c r="D353" s="1" t="s">
        <v>4</v>
      </c>
      <c r="E353" s="1" t="s">
        <v>25</v>
      </c>
      <c r="F353" s="15">
        <v>0.64</v>
      </c>
      <c r="G353" s="15">
        <v>0</v>
      </c>
      <c r="H353" s="15">
        <v>4</v>
      </c>
      <c r="I353" s="15">
        <v>0.7</v>
      </c>
      <c r="J353" s="16">
        <v>0.36799999999999999</v>
      </c>
      <c r="K353" s="16">
        <v>1.1379999999999999</v>
      </c>
      <c r="L353" s="16">
        <f t="shared" si="26"/>
        <v>1.5059999999999998</v>
      </c>
      <c r="M353" s="17" t="s">
        <v>29</v>
      </c>
      <c r="N353" s="18">
        <v>100</v>
      </c>
      <c r="O353" s="18">
        <v>27</v>
      </c>
      <c r="P353" s="23">
        <v>0.1</v>
      </c>
      <c r="Q353" s="1" t="s">
        <v>2</v>
      </c>
      <c r="R353" s="20" t="str">
        <f t="shared" si="24"/>
        <v>horizontal</v>
      </c>
      <c r="S353" s="19">
        <v>0.1</v>
      </c>
      <c r="T353" s="19">
        <v>0</v>
      </c>
      <c r="U353" s="19">
        <v>0</v>
      </c>
      <c r="V353" s="20">
        <v>0</v>
      </c>
      <c r="W353" s="20">
        <v>-1</v>
      </c>
      <c r="Y353" s="18">
        <v>20</v>
      </c>
      <c r="Z353" s="15">
        <v>60.126666666666665</v>
      </c>
      <c r="AA353" s="16">
        <v>0.36</v>
      </c>
      <c r="AB353" s="16">
        <v>0.35</v>
      </c>
      <c r="AC353" s="16">
        <f t="shared" si="21"/>
        <v>0.79599999999999993</v>
      </c>
      <c r="AD353" s="21">
        <v>1.04700756059718</v>
      </c>
      <c r="AE353" s="22" t="str">
        <f t="shared" si="25"/>
        <v>UC Berkeley Lab</v>
      </c>
      <c r="AF353" s="22"/>
    </row>
    <row r="354" spans="1:32" x14ac:dyDescent="0.2">
      <c r="A354" s="1">
        <v>536</v>
      </c>
      <c r="B354" s="13">
        <v>43886</v>
      </c>
      <c r="C354" s="1" t="s">
        <v>35</v>
      </c>
      <c r="D354" s="1" t="s">
        <v>4</v>
      </c>
      <c r="E354" s="1" t="s">
        <v>25</v>
      </c>
      <c r="F354" s="15">
        <v>0.64</v>
      </c>
      <c r="G354" s="15">
        <v>0</v>
      </c>
      <c r="H354" s="15">
        <v>4</v>
      </c>
      <c r="I354" s="15">
        <v>0.7</v>
      </c>
      <c r="J354" s="16">
        <v>0.36799999999999999</v>
      </c>
      <c r="K354" s="16">
        <v>1.1319999999999999</v>
      </c>
      <c r="L354" s="16">
        <f t="shared" ref="L354:L368" si="27">SUM(J354:K354)</f>
        <v>1.5</v>
      </c>
      <c r="M354" s="17" t="s">
        <v>29</v>
      </c>
      <c r="N354" s="18">
        <v>100</v>
      </c>
      <c r="O354" s="18">
        <v>27</v>
      </c>
      <c r="P354" s="23">
        <v>0.1</v>
      </c>
      <c r="Q354" s="1" t="s">
        <v>2</v>
      </c>
      <c r="R354" s="20" t="str">
        <f t="shared" si="24"/>
        <v>horizontal</v>
      </c>
      <c r="S354" s="19">
        <v>0.1</v>
      </c>
      <c r="T354" s="19">
        <v>0</v>
      </c>
      <c r="U354" s="19">
        <v>0</v>
      </c>
      <c r="V354" s="20">
        <v>0</v>
      </c>
      <c r="W354" s="20">
        <v>-1</v>
      </c>
      <c r="Y354" s="18">
        <v>20</v>
      </c>
      <c r="Z354" s="15">
        <v>60.143333333333338</v>
      </c>
      <c r="AA354" s="16">
        <v>0.36</v>
      </c>
      <c r="AB354" s="16">
        <v>0.36</v>
      </c>
      <c r="AC354" s="16">
        <f t="shared" si="21"/>
        <v>0.78000000000000014</v>
      </c>
      <c r="AD354" s="21">
        <v>1.0956283852450901</v>
      </c>
      <c r="AE354" s="22" t="str">
        <f t="shared" si="25"/>
        <v>UC Berkeley Lab</v>
      </c>
      <c r="AF354" s="22"/>
    </row>
    <row r="355" spans="1:32" x14ac:dyDescent="0.2">
      <c r="A355" s="1">
        <v>537</v>
      </c>
      <c r="B355" s="13">
        <v>43886</v>
      </c>
      <c r="C355" s="1" t="s">
        <v>35</v>
      </c>
      <c r="D355" s="1" t="s">
        <v>4</v>
      </c>
      <c r="E355" s="1" t="s">
        <v>25</v>
      </c>
      <c r="F355" s="15">
        <v>0.64</v>
      </c>
      <c r="G355" s="15">
        <v>0</v>
      </c>
      <c r="H355" s="15">
        <v>4</v>
      </c>
      <c r="I355" s="15">
        <v>0.7</v>
      </c>
      <c r="J355" s="16">
        <v>0.36699999999999999</v>
      </c>
      <c r="K355" s="16">
        <v>1.1240000000000001</v>
      </c>
      <c r="L355" s="16">
        <f t="shared" si="27"/>
        <v>1.4910000000000001</v>
      </c>
      <c r="M355" s="17" t="s">
        <v>29</v>
      </c>
      <c r="N355" s="18">
        <v>100</v>
      </c>
      <c r="O355" s="18">
        <v>27</v>
      </c>
      <c r="P355" s="23">
        <v>0.1</v>
      </c>
      <c r="Q355" s="1" t="s">
        <v>2</v>
      </c>
      <c r="R355" s="20" t="str">
        <f t="shared" si="24"/>
        <v>horizontal</v>
      </c>
      <c r="S355" s="19">
        <v>0.1</v>
      </c>
      <c r="T355" s="19">
        <v>0</v>
      </c>
      <c r="U355" s="19">
        <v>0</v>
      </c>
      <c r="V355" s="20">
        <v>0</v>
      </c>
      <c r="W355" s="20">
        <v>-1</v>
      </c>
      <c r="Y355" s="18">
        <v>20</v>
      </c>
      <c r="Z355" s="15">
        <v>60.233333333333327</v>
      </c>
      <c r="AA355" s="16">
        <v>0.38</v>
      </c>
      <c r="AB355" s="16">
        <v>0.35</v>
      </c>
      <c r="AC355" s="16">
        <f t="shared" si="21"/>
        <v>0.76100000000000023</v>
      </c>
      <c r="AD355" s="21">
        <v>1.10206430984501</v>
      </c>
      <c r="AE355" s="22" t="str">
        <f t="shared" si="25"/>
        <v>UC Berkeley Lab</v>
      </c>
      <c r="AF355" s="22"/>
    </row>
    <row r="356" spans="1:32" x14ac:dyDescent="0.2">
      <c r="A356" s="1">
        <v>538</v>
      </c>
      <c r="B356" s="13">
        <v>43886</v>
      </c>
      <c r="C356" s="1" t="s">
        <v>35</v>
      </c>
      <c r="D356" s="1" t="s">
        <v>4</v>
      </c>
      <c r="E356" s="1" t="s">
        <v>25</v>
      </c>
      <c r="F356" s="15">
        <v>0.64</v>
      </c>
      <c r="G356" s="15">
        <v>0</v>
      </c>
      <c r="H356" s="15">
        <v>4</v>
      </c>
      <c r="I356" s="15">
        <v>0.7</v>
      </c>
      <c r="J356" s="16">
        <v>0.36699999999999999</v>
      </c>
      <c r="K356" s="16">
        <v>1.129</v>
      </c>
      <c r="L356" s="16">
        <f t="shared" si="27"/>
        <v>1.496</v>
      </c>
      <c r="M356" s="17" t="s">
        <v>29</v>
      </c>
      <c r="N356" s="18">
        <v>100</v>
      </c>
      <c r="O356" s="18">
        <v>27</v>
      </c>
      <c r="P356" s="23">
        <v>0.1</v>
      </c>
      <c r="Q356" s="1" t="s">
        <v>1</v>
      </c>
      <c r="R356" s="20" t="str">
        <f t="shared" si="24"/>
        <v>horizontal</v>
      </c>
      <c r="S356" s="19">
        <v>-0.1</v>
      </c>
      <c r="T356" s="19">
        <v>0</v>
      </c>
      <c r="U356" s="19">
        <v>0</v>
      </c>
      <c r="V356" s="20">
        <v>0</v>
      </c>
      <c r="W356" s="20">
        <v>-1</v>
      </c>
      <c r="Y356" s="18">
        <v>15</v>
      </c>
      <c r="Z356" s="15">
        <v>59.93333333333333</v>
      </c>
      <c r="AA356" s="16">
        <v>0.36</v>
      </c>
      <c r="AB356" s="16">
        <v>0.35</v>
      </c>
      <c r="AC356" s="16">
        <f t="shared" si="21"/>
        <v>0.78600000000000014</v>
      </c>
      <c r="AD356" s="21">
        <v>0.81604268583944695</v>
      </c>
      <c r="AE356" s="22" t="str">
        <f t="shared" si="25"/>
        <v>UC Berkeley Lab</v>
      </c>
      <c r="AF356" s="22"/>
    </row>
    <row r="357" spans="1:32" x14ac:dyDescent="0.2">
      <c r="A357" s="1">
        <v>539</v>
      </c>
      <c r="B357" s="13">
        <v>43886</v>
      </c>
      <c r="C357" s="1" t="s">
        <v>35</v>
      </c>
      <c r="D357" s="1" t="s">
        <v>4</v>
      </c>
      <c r="E357" s="1" t="s">
        <v>25</v>
      </c>
      <c r="F357" s="15">
        <v>0.64</v>
      </c>
      <c r="G357" s="15">
        <v>0</v>
      </c>
      <c r="H357" s="15">
        <v>4</v>
      </c>
      <c r="I357" s="15">
        <v>0.7</v>
      </c>
      <c r="J357" s="16">
        <v>0.36699999999999999</v>
      </c>
      <c r="K357" s="16">
        <v>1.129</v>
      </c>
      <c r="L357" s="16">
        <f t="shared" si="27"/>
        <v>1.496</v>
      </c>
      <c r="M357" s="17" t="s">
        <v>29</v>
      </c>
      <c r="N357" s="18">
        <v>100</v>
      </c>
      <c r="O357" s="18">
        <v>27</v>
      </c>
      <c r="P357" s="23">
        <v>0.1</v>
      </c>
      <c r="Q357" s="1" t="s">
        <v>1</v>
      </c>
      <c r="R357" s="20" t="str">
        <f t="shared" si="24"/>
        <v>horizontal</v>
      </c>
      <c r="S357" s="19">
        <v>-0.1</v>
      </c>
      <c r="T357" s="19">
        <v>0</v>
      </c>
      <c r="U357" s="19">
        <v>0</v>
      </c>
      <c r="V357" s="20">
        <v>0</v>
      </c>
      <c r="W357" s="20">
        <v>-1</v>
      </c>
      <c r="Y357" s="18">
        <v>20</v>
      </c>
      <c r="Z357" s="15">
        <v>60.01</v>
      </c>
      <c r="AA357" s="16">
        <v>0.34</v>
      </c>
      <c r="AB357" s="16">
        <v>0.34</v>
      </c>
      <c r="AC357" s="16">
        <f t="shared" si="21"/>
        <v>0.81599999999999984</v>
      </c>
      <c r="AD357" s="21">
        <v>0.89141210607594401</v>
      </c>
      <c r="AE357" s="22" t="str">
        <f t="shared" si="25"/>
        <v>UC Berkeley Lab</v>
      </c>
      <c r="AF357" s="22"/>
    </row>
    <row r="358" spans="1:32" x14ac:dyDescent="0.2">
      <c r="A358" s="1">
        <v>540</v>
      </c>
      <c r="B358" s="13">
        <v>43886</v>
      </c>
      <c r="C358" s="1" t="s">
        <v>35</v>
      </c>
      <c r="D358" s="1" t="s">
        <v>4</v>
      </c>
      <c r="E358" s="1" t="s">
        <v>25</v>
      </c>
      <c r="F358" s="15">
        <v>0.64</v>
      </c>
      <c r="G358" s="15">
        <v>0</v>
      </c>
      <c r="H358" s="15">
        <v>4</v>
      </c>
      <c r="I358" s="15">
        <v>0.7</v>
      </c>
      <c r="J358" s="16">
        <v>0.36699999999999999</v>
      </c>
      <c r="K358" s="16">
        <v>1.133</v>
      </c>
      <c r="L358" s="16">
        <f t="shared" si="27"/>
        <v>1.5</v>
      </c>
      <c r="M358" s="17" t="s">
        <v>29</v>
      </c>
      <c r="N358" s="18">
        <v>100</v>
      </c>
      <c r="O358" s="18">
        <v>27</v>
      </c>
      <c r="P358" s="23">
        <v>0.1</v>
      </c>
      <c r="Q358" s="1" t="s">
        <v>1</v>
      </c>
      <c r="R358" s="20" t="str">
        <f t="shared" si="24"/>
        <v>horizontal</v>
      </c>
      <c r="S358" s="19">
        <v>-0.1</v>
      </c>
      <c r="T358" s="19">
        <v>0</v>
      </c>
      <c r="U358" s="19">
        <v>0</v>
      </c>
      <c r="V358" s="20">
        <v>0</v>
      </c>
      <c r="W358" s="20">
        <v>-1</v>
      </c>
      <c r="Y358" s="18">
        <v>20</v>
      </c>
      <c r="Z358" s="15">
        <v>60.263333333333328</v>
      </c>
      <c r="AA358" s="16">
        <v>0.36</v>
      </c>
      <c r="AB358" s="16">
        <v>0.34</v>
      </c>
      <c r="AC358" s="16">
        <f t="shared" si="21"/>
        <v>0.8</v>
      </c>
      <c r="AD358" s="21">
        <v>0.80849250062389799</v>
      </c>
      <c r="AE358" s="22" t="str">
        <f t="shared" si="25"/>
        <v>UC Berkeley Lab</v>
      </c>
      <c r="AF358" s="22"/>
    </row>
    <row r="359" spans="1:32" x14ac:dyDescent="0.2">
      <c r="A359" s="1">
        <v>541</v>
      </c>
      <c r="B359" s="13">
        <v>43886</v>
      </c>
      <c r="C359" s="1" t="s">
        <v>35</v>
      </c>
      <c r="D359" s="1" t="s">
        <v>4</v>
      </c>
      <c r="E359" s="1" t="s">
        <v>25</v>
      </c>
      <c r="F359" s="15">
        <v>0.64</v>
      </c>
      <c r="G359" s="15">
        <v>0</v>
      </c>
      <c r="H359" s="15">
        <v>4</v>
      </c>
      <c r="I359" s="15">
        <v>0.7</v>
      </c>
      <c r="J359" s="16">
        <v>0.36699999999999999</v>
      </c>
      <c r="K359" s="16">
        <v>1.125</v>
      </c>
      <c r="L359" s="16">
        <f t="shared" si="27"/>
        <v>1.492</v>
      </c>
      <c r="M359" s="17" t="s">
        <v>29</v>
      </c>
      <c r="N359" s="18">
        <v>100</v>
      </c>
      <c r="O359" s="18">
        <v>27</v>
      </c>
      <c r="P359" s="23">
        <v>0.1</v>
      </c>
      <c r="Q359" s="1" t="s">
        <v>1</v>
      </c>
      <c r="R359" s="20" t="str">
        <f t="shared" si="24"/>
        <v>horizontal</v>
      </c>
      <c r="S359" s="19">
        <v>-0.1</v>
      </c>
      <c r="T359" s="19">
        <v>0</v>
      </c>
      <c r="U359" s="19">
        <v>0</v>
      </c>
      <c r="V359" s="20">
        <v>0</v>
      </c>
      <c r="W359" s="20">
        <v>-1</v>
      </c>
      <c r="Y359" s="18">
        <v>18</v>
      </c>
      <c r="Z359" s="15">
        <v>60.033333333333331</v>
      </c>
      <c r="AA359" s="16">
        <v>0.31</v>
      </c>
      <c r="AB359" s="16">
        <v>0.36</v>
      </c>
      <c r="AC359" s="16">
        <f t="shared" si="21"/>
        <v>0.82199999999999995</v>
      </c>
      <c r="AD359" s="21">
        <v>0.90176630018443804</v>
      </c>
      <c r="AE359" s="22" t="str">
        <f t="shared" si="25"/>
        <v>UC Berkeley Lab</v>
      </c>
      <c r="AF359" s="22"/>
    </row>
    <row r="360" spans="1:32" x14ac:dyDescent="0.2">
      <c r="A360" s="1">
        <v>542</v>
      </c>
      <c r="B360" s="13">
        <v>43886</v>
      </c>
      <c r="C360" s="1" t="s">
        <v>35</v>
      </c>
      <c r="D360" s="1" t="s">
        <v>4</v>
      </c>
      <c r="E360" s="1" t="s">
        <v>25</v>
      </c>
      <c r="F360" s="15">
        <v>0.64</v>
      </c>
      <c r="G360" s="15">
        <v>0</v>
      </c>
      <c r="H360" s="15">
        <v>4</v>
      </c>
      <c r="I360" s="15">
        <v>0.7</v>
      </c>
      <c r="J360" s="16">
        <v>0.36699999999999999</v>
      </c>
      <c r="K360" s="16">
        <v>1.125</v>
      </c>
      <c r="L360" s="16">
        <f t="shared" si="27"/>
        <v>1.492</v>
      </c>
      <c r="M360" s="17" t="s">
        <v>29</v>
      </c>
      <c r="N360" s="18">
        <v>100</v>
      </c>
      <c r="O360" s="18">
        <v>24</v>
      </c>
      <c r="P360" s="23">
        <v>0.1</v>
      </c>
      <c r="Q360" s="1" t="s">
        <v>2</v>
      </c>
      <c r="R360" s="20" t="str">
        <f t="shared" si="24"/>
        <v>horizontal</v>
      </c>
      <c r="S360" s="19">
        <v>0.1</v>
      </c>
      <c r="T360" s="19">
        <v>0</v>
      </c>
      <c r="U360" s="19">
        <v>0</v>
      </c>
      <c r="V360" s="20">
        <v>0</v>
      </c>
      <c r="W360" s="20">
        <v>-1</v>
      </c>
      <c r="Y360" s="18">
        <v>25</v>
      </c>
      <c r="Z360" s="15">
        <v>100.14666666666669</v>
      </c>
      <c r="AA360" s="16">
        <v>0.4</v>
      </c>
      <c r="AB360" s="16">
        <v>0.37</v>
      </c>
      <c r="AC360" s="16">
        <f t="shared" si="21"/>
        <v>0.72200000000000009</v>
      </c>
      <c r="AD360" s="21">
        <v>1.1122958284404301</v>
      </c>
      <c r="AE360" s="22" t="str">
        <f t="shared" si="25"/>
        <v>UC Berkeley Lab</v>
      </c>
      <c r="AF360" s="22"/>
    </row>
    <row r="361" spans="1:32" x14ac:dyDescent="0.2">
      <c r="A361" s="1">
        <v>543</v>
      </c>
      <c r="B361" s="13">
        <v>43886</v>
      </c>
      <c r="C361" s="1" t="s">
        <v>35</v>
      </c>
      <c r="D361" s="1" t="s">
        <v>4</v>
      </c>
      <c r="E361" s="1" t="s">
        <v>25</v>
      </c>
      <c r="F361" s="15">
        <v>0.64</v>
      </c>
      <c r="G361" s="15">
        <v>0</v>
      </c>
      <c r="H361" s="15">
        <v>4</v>
      </c>
      <c r="I361" s="15">
        <v>0.7</v>
      </c>
      <c r="J361" s="16">
        <v>0.36699999999999999</v>
      </c>
      <c r="K361" s="16">
        <v>1.129</v>
      </c>
      <c r="L361" s="16">
        <f t="shared" si="27"/>
        <v>1.496</v>
      </c>
      <c r="M361" s="17" t="s">
        <v>29</v>
      </c>
      <c r="N361" s="18">
        <v>100</v>
      </c>
      <c r="O361" s="18">
        <v>24</v>
      </c>
      <c r="P361" s="23">
        <v>0.1</v>
      </c>
      <c r="Q361" s="1" t="s">
        <v>2</v>
      </c>
      <c r="R361" s="20" t="str">
        <f t="shared" si="24"/>
        <v>horizontal</v>
      </c>
      <c r="S361" s="19">
        <v>0.1</v>
      </c>
      <c r="T361" s="19">
        <v>0</v>
      </c>
      <c r="U361" s="19">
        <v>0</v>
      </c>
      <c r="V361" s="20">
        <v>0</v>
      </c>
      <c r="W361" s="20">
        <v>-1</v>
      </c>
      <c r="Y361" s="18">
        <v>25</v>
      </c>
      <c r="Z361" s="15">
        <v>100.04</v>
      </c>
      <c r="AA361" s="16">
        <v>0.41</v>
      </c>
      <c r="AB361" s="16">
        <v>0.35</v>
      </c>
      <c r="AC361" s="16">
        <f t="shared" si="21"/>
        <v>0.7360000000000001</v>
      </c>
      <c r="AD361" s="21">
        <v>1.0906148855984199</v>
      </c>
      <c r="AE361" s="22" t="str">
        <f t="shared" si="25"/>
        <v>UC Berkeley Lab</v>
      </c>
      <c r="AF361" s="22"/>
    </row>
    <row r="362" spans="1:32" x14ac:dyDescent="0.2">
      <c r="A362" s="1">
        <v>544</v>
      </c>
      <c r="B362" s="13">
        <v>43886</v>
      </c>
      <c r="C362" s="1" t="s">
        <v>35</v>
      </c>
      <c r="D362" s="1" t="s">
        <v>4</v>
      </c>
      <c r="E362" s="1" t="s">
        <v>25</v>
      </c>
      <c r="F362" s="15">
        <v>0.64</v>
      </c>
      <c r="G362" s="15">
        <v>0</v>
      </c>
      <c r="H362" s="15">
        <v>4</v>
      </c>
      <c r="I362" s="15">
        <v>0.7</v>
      </c>
      <c r="J362" s="16">
        <v>0.36599999999999999</v>
      </c>
      <c r="K362" s="16">
        <v>1.1359999999999999</v>
      </c>
      <c r="L362" s="16">
        <f t="shared" si="27"/>
        <v>1.5019999999999998</v>
      </c>
      <c r="M362" s="17" t="s">
        <v>29</v>
      </c>
      <c r="N362" s="18">
        <v>100</v>
      </c>
      <c r="O362" s="18">
        <v>24</v>
      </c>
      <c r="P362" s="23">
        <v>0.1</v>
      </c>
      <c r="Q362" s="1" t="s">
        <v>2</v>
      </c>
      <c r="R362" s="20" t="str">
        <f t="shared" si="24"/>
        <v>horizontal</v>
      </c>
      <c r="S362" s="19">
        <v>0.1</v>
      </c>
      <c r="T362" s="19">
        <v>0</v>
      </c>
      <c r="U362" s="19">
        <v>0</v>
      </c>
      <c r="V362" s="20">
        <v>0</v>
      </c>
      <c r="W362" s="20">
        <v>-1</v>
      </c>
      <c r="Y362" s="18">
        <v>17</v>
      </c>
      <c r="Z362" s="15">
        <v>100.05</v>
      </c>
      <c r="AA362" s="16">
        <v>0.46</v>
      </c>
      <c r="AB362" s="16">
        <v>0.36</v>
      </c>
      <c r="AC362" s="16">
        <f t="shared" si="21"/>
        <v>0.68199999999999983</v>
      </c>
      <c r="AD362" s="21">
        <v>1.13025822368929</v>
      </c>
      <c r="AE362" s="22" t="str">
        <f t="shared" si="25"/>
        <v>UC Berkeley Lab</v>
      </c>
      <c r="AF362" s="22"/>
    </row>
    <row r="363" spans="1:32" x14ac:dyDescent="0.2">
      <c r="A363" s="1">
        <v>545</v>
      </c>
      <c r="B363" s="13">
        <v>43886</v>
      </c>
      <c r="C363" s="1" t="s">
        <v>35</v>
      </c>
      <c r="D363" s="1" t="s">
        <v>4</v>
      </c>
      <c r="E363" s="1" t="s">
        <v>25</v>
      </c>
      <c r="F363" s="15">
        <v>0.64</v>
      </c>
      <c r="G363" s="15">
        <v>0</v>
      </c>
      <c r="H363" s="15">
        <v>4</v>
      </c>
      <c r="I363" s="15">
        <v>0.7</v>
      </c>
      <c r="J363" s="16">
        <v>0.36699999999999999</v>
      </c>
      <c r="K363" s="16">
        <v>1.133</v>
      </c>
      <c r="L363" s="16">
        <f t="shared" si="27"/>
        <v>1.5</v>
      </c>
      <c r="M363" s="17" t="s">
        <v>29</v>
      </c>
      <c r="N363" s="18">
        <v>100</v>
      </c>
      <c r="O363" s="18">
        <v>24</v>
      </c>
      <c r="P363" s="23">
        <v>0.1</v>
      </c>
      <c r="Q363" s="1" t="s">
        <v>2</v>
      </c>
      <c r="R363" s="20" t="str">
        <f t="shared" si="24"/>
        <v>horizontal</v>
      </c>
      <c r="S363" s="19">
        <v>0.1</v>
      </c>
      <c r="T363" s="19">
        <v>0</v>
      </c>
      <c r="U363" s="19">
        <v>0</v>
      </c>
      <c r="V363" s="20">
        <v>0</v>
      </c>
      <c r="W363" s="20">
        <v>-1</v>
      </c>
      <c r="Y363" s="18">
        <v>24</v>
      </c>
      <c r="Z363" s="15">
        <v>99.969999999999985</v>
      </c>
      <c r="AA363" s="16">
        <v>0.43</v>
      </c>
      <c r="AB363" s="16">
        <v>0.36</v>
      </c>
      <c r="AC363" s="16">
        <f t="shared" si="21"/>
        <v>0.71000000000000008</v>
      </c>
      <c r="AD363" s="21">
        <v>1.12894108548025</v>
      </c>
      <c r="AE363" s="22" t="str">
        <f t="shared" si="25"/>
        <v>UC Berkeley Lab</v>
      </c>
      <c r="AF363" s="22"/>
    </row>
    <row r="364" spans="1:32" x14ac:dyDescent="0.2">
      <c r="A364" s="1">
        <v>546</v>
      </c>
      <c r="B364" s="13">
        <v>43886</v>
      </c>
      <c r="C364" s="1" t="s">
        <v>35</v>
      </c>
      <c r="D364" s="1" t="s">
        <v>4</v>
      </c>
      <c r="E364" s="1" t="s">
        <v>25</v>
      </c>
      <c r="F364" s="15">
        <v>0.64</v>
      </c>
      <c r="G364" s="15">
        <v>0</v>
      </c>
      <c r="H364" s="15">
        <v>4</v>
      </c>
      <c r="I364" s="15">
        <v>0.7</v>
      </c>
      <c r="J364" s="16">
        <v>0.36699999999999999</v>
      </c>
      <c r="K364" s="16">
        <v>1.125</v>
      </c>
      <c r="L364" s="16">
        <f t="shared" si="27"/>
        <v>1.492</v>
      </c>
      <c r="M364" s="17" t="s">
        <v>29</v>
      </c>
      <c r="N364" s="18">
        <v>100</v>
      </c>
      <c r="O364" s="18">
        <v>24</v>
      </c>
      <c r="P364" s="23">
        <v>0.1</v>
      </c>
      <c r="Q364" s="1" t="s">
        <v>2</v>
      </c>
      <c r="R364" s="20" t="str">
        <f t="shared" si="24"/>
        <v>horizontal</v>
      </c>
      <c r="S364" s="19">
        <v>0.1</v>
      </c>
      <c r="T364" s="19">
        <v>0</v>
      </c>
      <c r="U364" s="19">
        <v>0</v>
      </c>
      <c r="V364" s="20">
        <v>0</v>
      </c>
      <c r="W364" s="20">
        <v>-1</v>
      </c>
      <c r="Y364" s="18">
        <v>20</v>
      </c>
      <c r="Z364" s="15">
        <v>99.913333333333341</v>
      </c>
      <c r="AA364" s="16">
        <v>0.41</v>
      </c>
      <c r="AB364" s="16">
        <v>0.37</v>
      </c>
      <c r="AC364" s="16">
        <f t="shared" si="21"/>
        <v>0.71200000000000008</v>
      </c>
      <c r="AD364" s="21">
        <v>1.1916604183784001</v>
      </c>
      <c r="AE364" s="22" t="str">
        <f t="shared" si="25"/>
        <v>UC Berkeley Lab</v>
      </c>
      <c r="AF364" s="22"/>
    </row>
    <row r="365" spans="1:32" x14ac:dyDescent="0.2">
      <c r="A365" s="1">
        <v>547</v>
      </c>
      <c r="B365" s="13">
        <v>43886</v>
      </c>
      <c r="C365" s="1" t="s">
        <v>35</v>
      </c>
      <c r="D365" s="1" t="s">
        <v>4</v>
      </c>
      <c r="E365" s="1" t="s">
        <v>25</v>
      </c>
      <c r="F365" s="15">
        <v>0.64</v>
      </c>
      <c r="G365" s="15">
        <v>0</v>
      </c>
      <c r="H365" s="15">
        <v>4</v>
      </c>
      <c r="I365" s="15">
        <v>0.7</v>
      </c>
      <c r="J365" s="16">
        <v>0.36599999999999999</v>
      </c>
      <c r="K365" s="16">
        <v>1.1180000000000001</v>
      </c>
      <c r="L365" s="16">
        <f t="shared" si="27"/>
        <v>1.484</v>
      </c>
      <c r="M365" s="17" t="s">
        <v>29</v>
      </c>
      <c r="N365" s="18">
        <v>100</v>
      </c>
      <c r="O365" s="18">
        <v>24</v>
      </c>
      <c r="P365" s="23">
        <v>0.1</v>
      </c>
      <c r="Q365" s="1" t="s">
        <v>1</v>
      </c>
      <c r="R365" s="20" t="str">
        <f t="shared" si="24"/>
        <v>horizontal</v>
      </c>
      <c r="S365" s="19">
        <v>-0.1</v>
      </c>
      <c r="T365" s="19">
        <v>0</v>
      </c>
      <c r="U365" s="19">
        <v>0</v>
      </c>
      <c r="V365" s="20">
        <v>0</v>
      </c>
      <c r="W365" s="20">
        <v>-1</v>
      </c>
      <c r="Y365" s="18">
        <v>20</v>
      </c>
      <c r="Z365" s="15">
        <v>100.06333333333333</v>
      </c>
      <c r="AA365" s="16">
        <v>0.42</v>
      </c>
      <c r="AB365" s="16">
        <v>0.36</v>
      </c>
      <c r="AC365" s="16">
        <f t="shared" ref="AC365:AC390" si="28">L365-AA365-AB365</f>
        <v>0.70400000000000007</v>
      </c>
      <c r="AD365" s="21">
        <v>0.84306050889348905</v>
      </c>
      <c r="AE365" s="22" t="str">
        <f t="shared" si="25"/>
        <v>UC Berkeley Lab</v>
      </c>
      <c r="AF365" s="22"/>
    </row>
    <row r="366" spans="1:32" x14ac:dyDescent="0.2">
      <c r="A366" s="1">
        <v>548</v>
      </c>
      <c r="B366" s="13">
        <v>43886</v>
      </c>
      <c r="C366" s="1" t="s">
        <v>35</v>
      </c>
      <c r="D366" s="1" t="s">
        <v>4</v>
      </c>
      <c r="E366" s="1" t="s">
        <v>25</v>
      </c>
      <c r="F366" s="15">
        <v>0.64</v>
      </c>
      <c r="G366" s="15">
        <v>0</v>
      </c>
      <c r="H366" s="15">
        <v>4</v>
      </c>
      <c r="I366" s="15">
        <v>0.7</v>
      </c>
      <c r="J366" s="16">
        <v>0.36499999999999999</v>
      </c>
      <c r="K366" s="16">
        <v>1.121</v>
      </c>
      <c r="L366" s="16">
        <f t="shared" si="27"/>
        <v>1.486</v>
      </c>
      <c r="M366" s="17" t="s">
        <v>29</v>
      </c>
      <c r="N366" s="18">
        <v>100</v>
      </c>
      <c r="O366" s="18">
        <v>24</v>
      </c>
      <c r="P366" s="23">
        <v>0.1</v>
      </c>
      <c r="Q366" s="1" t="s">
        <v>1</v>
      </c>
      <c r="R366" s="20" t="str">
        <f t="shared" si="24"/>
        <v>horizontal</v>
      </c>
      <c r="S366" s="19">
        <v>-0.1</v>
      </c>
      <c r="T366" s="19">
        <v>0</v>
      </c>
      <c r="U366" s="19">
        <v>0</v>
      </c>
      <c r="V366" s="20">
        <v>0</v>
      </c>
      <c r="W366" s="20">
        <v>-1</v>
      </c>
      <c r="Y366" s="18">
        <v>13</v>
      </c>
      <c r="Z366" s="15">
        <v>100.25999999999999</v>
      </c>
      <c r="AA366" s="16">
        <v>0.44</v>
      </c>
      <c r="AB366" s="16">
        <v>0.36</v>
      </c>
      <c r="AC366" s="16">
        <f t="shared" si="28"/>
        <v>0.68600000000000005</v>
      </c>
      <c r="AD366" s="21">
        <v>0.84174045878894199</v>
      </c>
      <c r="AE366" s="22" t="str">
        <f t="shared" si="25"/>
        <v>UC Berkeley Lab</v>
      </c>
      <c r="AF366" s="22"/>
    </row>
    <row r="367" spans="1:32" x14ac:dyDescent="0.2">
      <c r="A367" s="1">
        <v>549</v>
      </c>
      <c r="B367" s="13">
        <v>43886</v>
      </c>
      <c r="C367" s="1" t="s">
        <v>35</v>
      </c>
      <c r="D367" s="1" t="s">
        <v>4</v>
      </c>
      <c r="E367" s="1" t="s">
        <v>25</v>
      </c>
      <c r="F367" s="15">
        <v>0.64</v>
      </c>
      <c r="G367" s="15">
        <v>0</v>
      </c>
      <c r="H367" s="15">
        <v>4</v>
      </c>
      <c r="I367" s="15">
        <v>0.7</v>
      </c>
      <c r="J367" s="16">
        <v>0.36699999999999999</v>
      </c>
      <c r="K367" s="16">
        <v>1.1220000000000001</v>
      </c>
      <c r="L367" s="16">
        <f t="shared" si="27"/>
        <v>1.4890000000000001</v>
      </c>
      <c r="M367" s="17" t="s">
        <v>29</v>
      </c>
      <c r="N367" s="18">
        <v>100</v>
      </c>
      <c r="O367" s="18">
        <v>24</v>
      </c>
      <c r="P367" s="23">
        <v>0.1</v>
      </c>
      <c r="Q367" s="1" t="s">
        <v>1</v>
      </c>
      <c r="R367" s="20" t="str">
        <f t="shared" si="24"/>
        <v>horizontal</v>
      </c>
      <c r="S367" s="19">
        <v>-0.1</v>
      </c>
      <c r="T367" s="19">
        <v>0</v>
      </c>
      <c r="U367" s="19">
        <v>0</v>
      </c>
      <c r="V367" s="20">
        <v>0</v>
      </c>
      <c r="W367" s="20">
        <v>-1</v>
      </c>
      <c r="Y367" s="18">
        <v>20</v>
      </c>
      <c r="Z367" s="15">
        <v>100.10666666666667</v>
      </c>
      <c r="AA367" s="16">
        <v>0.38</v>
      </c>
      <c r="AB367" s="16">
        <v>0.37</v>
      </c>
      <c r="AC367" s="16">
        <f t="shared" si="28"/>
        <v>0.73899999999999999</v>
      </c>
      <c r="AD367" s="21">
        <v>0.76710380093659603</v>
      </c>
      <c r="AE367" s="22" t="str">
        <f t="shared" si="25"/>
        <v>UC Berkeley Lab</v>
      </c>
      <c r="AF367" s="22"/>
    </row>
    <row r="368" spans="1:32" x14ac:dyDescent="0.2">
      <c r="A368" s="1">
        <v>550</v>
      </c>
      <c r="B368" s="13">
        <v>43886</v>
      </c>
      <c r="C368" s="1" t="s">
        <v>35</v>
      </c>
      <c r="D368" s="1" t="s">
        <v>4</v>
      </c>
      <c r="E368" s="1" t="s">
        <v>25</v>
      </c>
      <c r="F368" s="15">
        <v>0.64</v>
      </c>
      <c r="G368" s="15">
        <v>0</v>
      </c>
      <c r="H368" s="15">
        <v>4</v>
      </c>
      <c r="I368" s="15">
        <v>0.7</v>
      </c>
      <c r="J368" s="16">
        <v>0.36699999999999999</v>
      </c>
      <c r="K368" s="16">
        <v>1.1240000000000001</v>
      </c>
      <c r="L368" s="16">
        <f t="shared" si="27"/>
        <v>1.4910000000000001</v>
      </c>
      <c r="M368" s="17" t="s">
        <v>29</v>
      </c>
      <c r="N368" s="18">
        <v>100</v>
      </c>
      <c r="O368" s="18">
        <v>24</v>
      </c>
      <c r="P368" s="23">
        <v>0.1</v>
      </c>
      <c r="Q368" s="1" t="s">
        <v>1</v>
      </c>
      <c r="R368" s="20" t="str">
        <f t="shared" si="24"/>
        <v>horizontal</v>
      </c>
      <c r="S368" s="19">
        <v>-0.1</v>
      </c>
      <c r="T368" s="19">
        <v>0</v>
      </c>
      <c r="U368" s="19">
        <v>0</v>
      </c>
      <c r="V368" s="20">
        <v>0</v>
      </c>
      <c r="W368" s="20">
        <v>-1</v>
      </c>
      <c r="Y368" s="18">
        <v>15</v>
      </c>
      <c r="Z368" s="15">
        <v>100.05</v>
      </c>
      <c r="AA368" s="16">
        <v>0.39</v>
      </c>
      <c r="AB368" s="16">
        <v>0.36</v>
      </c>
      <c r="AC368" s="16">
        <f t="shared" si="28"/>
        <v>0.74099999999999999</v>
      </c>
      <c r="AD368" s="21">
        <v>0.84436151565277096</v>
      </c>
      <c r="AE368" s="22" t="str">
        <f t="shared" si="25"/>
        <v>UC Berkeley Lab</v>
      </c>
      <c r="AF368" s="22"/>
    </row>
    <row r="369" spans="1:32" x14ac:dyDescent="0.2">
      <c r="A369" s="1">
        <v>551</v>
      </c>
      <c r="B369" s="13">
        <v>43887</v>
      </c>
      <c r="C369" s="1" t="s">
        <v>35</v>
      </c>
      <c r="D369" s="1" t="s">
        <v>4</v>
      </c>
      <c r="E369" s="1" t="s">
        <v>25</v>
      </c>
      <c r="F369" s="15">
        <v>0.64</v>
      </c>
      <c r="G369" s="15">
        <v>0</v>
      </c>
      <c r="H369" s="15">
        <v>4</v>
      </c>
      <c r="I369" s="15">
        <v>0.7</v>
      </c>
      <c r="J369" s="16">
        <v>0.36699999999999999</v>
      </c>
      <c r="K369" s="16">
        <v>1.1299999999999999</v>
      </c>
      <c r="L369" s="16">
        <f t="shared" ref="L369:L379" si="29">SUM(J369:K369)</f>
        <v>1.4969999999999999</v>
      </c>
      <c r="M369" s="17" t="s">
        <v>29</v>
      </c>
      <c r="N369" s="18">
        <v>100</v>
      </c>
      <c r="O369" s="18">
        <v>24</v>
      </c>
      <c r="P369" s="23">
        <v>0.1</v>
      </c>
      <c r="Q369" s="1" t="s">
        <v>1</v>
      </c>
      <c r="R369" s="20" t="str">
        <f t="shared" si="24"/>
        <v>horizontal</v>
      </c>
      <c r="S369" s="19">
        <v>-0.1</v>
      </c>
      <c r="T369" s="19">
        <v>0</v>
      </c>
      <c r="U369" s="19">
        <v>0</v>
      </c>
      <c r="V369" s="20">
        <v>0</v>
      </c>
      <c r="W369" s="20">
        <v>-1</v>
      </c>
      <c r="Y369" s="18">
        <v>13</v>
      </c>
      <c r="Z369" s="15">
        <v>99.893333333333317</v>
      </c>
      <c r="AA369" s="16">
        <v>0.4</v>
      </c>
      <c r="AB369" s="16">
        <v>0.36</v>
      </c>
      <c r="AC369" s="16">
        <f t="shared" si="28"/>
        <v>0.73699999999999999</v>
      </c>
      <c r="AD369" s="21">
        <v>0.88873963227893005</v>
      </c>
      <c r="AE369" s="22" t="str">
        <f t="shared" si="25"/>
        <v>UC Berkeley Lab</v>
      </c>
      <c r="AF369" s="22"/>
    </row>
    <row r="370" spans="1:32" x14ac:dyDescent="0.2">
      <c r="A370" s="1">
        <v>552</v>
      </c>
      <c r="B370" s="13">
        <v>43887</v>
      </c>
      <c r="C370" s="1" t="s">
        <v>35</v>
      </c>
      <c r="D370" s="1" t="s">
        <v>4</v>
      </c>
      <c r="E370" s="1" t="s">
        <v>25</v>
      </c>
      <c r="F370" s="15">
        <v>0.64</v>
      </c>
      <c r="G370" s="15">
        <v>0</v>
      </c>
      <c r="H370" s="15">
        <v>4</v>
      </c>
      <c r="I370" s="15">
        <v>0.7</v>
      </c>
      <c r="J370" s="16">
        <v>0.36599999999999999</v>
      </c>
      <c r="K370" s="16">
        <v>1.137</v>
      </c>
      <c r="L370" s="16">
        <f t="shared" si="29"/>
        <v>1.5030000000000001</v>
      </c>
      <c r="M370" s="17" t="s">
        <v>29</v>
      </c>
      <c r="N370" s="18">
        <v>100</v>
      </c>
      <c r="O370" s="18">
        <v>24</v>
      </c>
      <c r="P370" s="23">
        <v>0.1</v>
      </c>
      <c r="Q370" s="1" t="s">
        <v>1</v>
      </c>
      <c r="R370" s="20" t="str">
        <f t="shared" si="24"/>
        <v>horizontal</v>
      </c>
      <c r="S370" s="19">
        <v>-0.1</v>
      </c>
      <c r="T370" s="19">
        <v>0</v>
      </c>
      <c r="U370" s="19">
        <v>0</v>
      </c>
      <c r="V370" s="20">
        <v>0</v>
      </c>
      <c r="W370" s="20">
        <v>-1</v>
      </c>
      <c r="Y370" s="18">
        <v>18</v>
      </c>
      <c r="Z370" s="15">
        <v>80.043333333333337</v>
      </c>
      <c r="AA370" s="16">
        <v>0.41</v>
      </c>
      <c r="AB370" s="16">
        <v>0.36</v>
      </c>
      <c r="AC370" s="16">
        <f t="shared" si="28"/>
        <v>0.73300000000000021</v>
      </c>
      <c r="AD370" s="21">
        <v>0.70593762051800801</v>
      </c>
      <c r="AE370" s="22" t="str">
        <f t="shared" si="25"/>
        <v>UC Berkeley Lab</v>
      </c>
      <c r="AF370" s="22"/>
    </row>
    <row r="371" spans="1:32" x14ac:dyDescent="0.2">
      <c r="A371" s="1">
        <v>553</v>
      </c>
      <c r="B371" s="13">
        <v>43887</v>
      </c>
      <c r="C371" s="1" t="s">
        <v>35</v>
      </c>
      <c r="D371" s="1" t="s">
        <v>4</v>
      </c>
      <c r="E371" s="1" t="s">
        <v>25</v>
      </c>
      <c r="F371" s="15">
        <v>0.64</v>
      </c>
      <c r="G371" s="15">
        <v>0</v>
      </c>
      <c r="H371" s="15">
        <v>4</v>
      </c>
      <c r="I371" s="15">
        <v>0.7</v>
      </c>
      <c r="J371" s="16">
        <v>0.36599999999999999</v>
      </c>
      <c r="K371" s="16">
        <v>1.127</v>
      </c>
      <c r="L371" s="16">
        <f t="shared" si="29"/>
        <v>1.4929999999999999</v>
      </c>
      <c r="M371" s="17" t="s">
        <v>29</v>
      </c>
      <c r="N371" s="18">
        <v>100</v>
      </c>
      <c r="O371" s="18">
        <v>24</v>
      </c>
      <c r="P371" s="23">
        <v>0.1</v>
      </c>
      <c r="Q371" s="1" t="s">
        <v>1</v>
      </c>
      <c r="R371" s="20" t="str">
        <f t="shared" si="24"/>
        <v>horizontal</v>
      </c>
      <c r="S371" s="19">
        <v>-0.1</v>
      </c>
      <c r="T371" s="19">
        <v>0</v>
      </c>
      <c r="U371" s="19">
        <v>0</v>
      </c>
      <c r="V371" s="20">
        <v>0</v>
      </c>
      <c r="W371" s="20">
        <v>-1</v>
      </c>
      <c r="Y371" s="18">
        <v>20</v>
      </c>
      <c r="Z371" s="15">
        <v>80.09</v>
      </c>
      <c r="AA371" s="16">
        <v>0.38</v>
      </c>
      <c r="AB371" s="16">
        <v>0.36</v>
      </c>
      <c r="AC371" s="16">
        <f t="shared" si="28"/>
        <v>0.753</v>
      </c>
      <c r="AD371" s="21">
        <v>0.75347293465917597</v>
      </c>
      <c r="AE371" s="22" t="str">
        <f t="shared" si="25"/>
        <v>UC Berkeley Lab</v>
      </c>
      <c r="AF371" s="22"/>
    </row>
    <row r="372" spans="1:32" x14ac:dyDescent="0.2">
      <c r="A372" s="1">
        <v>554</v>
      </c>
      <c r="B372" s="13">
        <v>43887</v>
      </c>
      <c r="C372" s="1" t="s">
        <v>35</v>
      </c>
      <c r="D372" s="1" t="s">
        <v>4</v>
      </c>
      <c r="E372" s="1" t="s">
        <v>25</v>
      </c>
      <c r="F372" s="15">
        <v>0.64</v>
      </c>
      <c r="G372" s="15">
        <v>0</v>
      </c>
      <c r="H372" s="15">
        <v>4</v>
      </c>
      <c r="I372" s="15">
        <v>0.7</v>
      </c>
      <c r="J372" s="16">
        <v>0.36699999999999999</v>
      </c>
      <c r="K372" s="16">
        <v>1.1279999999999999</v>
      </c>
      <c r="L372" s="16">
        <f t="shared" si="29"/>
        <v>1.4949999999999999</v>
      </c>
      <c r="M372" s="17" t="s">
        <v>29</v>
      </c>
      <c r="N372" s="18">
        <v>100</v>
      </c>
      <c r="O372" s="18">
        <v>24</v>
      </c>
      <c r="P372" s="23">
        <v>0.1</v>
      </c>
      <c r="Q372" s="1" t="s">
        <v>1</v>
      </c>
      <c r="R372" s="20" t="str">
        <f t="shared" si="24"/>
        <v>horizontal</v>
      </c>
      <c r="S372" s="19">
        <v>-0.1</v>
      </c>
      <c r="T372" s="19">
        <v>0</v>
      </c>
      <c r="U372" s="19">
        <v>0</v>
      </c>
      <c r="V372" s="20">
        <v>0</v>
      </c>
      <c r="W372" s="20">
        <v>-1</v>
      </c>
      <c r="Y372" s="18">
        <v>20</v>
      </c>
      <c r="Z372" s="15">
        <v>80.05</v>
      </c>
      <c r="AA372" s="16">
        <v>0.35</v>
      </c>
      <c r="AB372" s="16">
        <v>0.36</v>
      </c>
      <c r="AC372" s="16">
        <f t="shared" si="28"/>
        <v>0.78500000000000003</v>
      </c>
      <c r="AD372" s="21">
        <v>0.76767539808838703</v>
      </c>
      <c r="AE372" s="22" t="str">
        <f t="shared" si="25"/>
        <v>UC Berkeley Lab</v>
      </c>
      <c r="AF372" s="22"/>
    </row>
    <row r="373" spans="1:32" x14ac:dyDescent="0.2">
      <c r="A373" s="1">
        <v>555</v>
      </c>
      <c r="B373" s="13">
        <v>43887</v>
      </c>
      <c r="C373" s="1" t="s">
        <v>35</v>
      </c>
      <c r="D373" s="1" t="s">
        <v>4</v>
      </c>
      <c r="E373" s="1" t="s">
        <v>25</v>
      </c>
      <c r="F373" s="15">
        <v>0.64</v>
      </c>
      <c r="G373" s="15">
        <v>0</v>
      </c>
      <c r="H373" s="15">
        <v>4</v>
      </c>
      <c r="I373" s="15">
        <v>0.7</v>
      </c>
      <c r="J373" s="16">
        <v>0.36699999999999999</v>
      </c>
      <c r="K373" s="16">
        <v>1.125</v>
      </c>
      <c r="L373" s="16">
        <f t="shared" si="29"/>
        <v>1.492</v>
      </c>
      <c r="M373" s="17" t="s">
        <v>29</v>
      </c>
      <c r="N373" s="18">
        <v>100</v>
      </c>
      <c r="O373" s="18">
        <v>24</v>
      </c>
      <c r="P373" s="23">
        <v>0.1</v>
      </c>
      <c r="Q373" s="1" t="s">
        <v>1</v>
      </c>
      <c r="R373" s="20" t="str">
        <f t="shared" si="24"/>
        <v>horizontal</v>
      </c>
      <c r="S373" s="19">
        <v>-0.1</v>
      </c>
      <c r="T373" s="19">
        <v>0</v>
      </c>
      <c r="U373" s="19">
        <v>0</v>
      </c>
      <c r="V373" s="20">
        <v>0</v>
      </c>
      <c r="W373" s="20">
        <v>-1</v>
      </c>
      <c r="Y373" s="18">
        <v>15</v>
      </c>
      <c r="Z373" s="15">
        <v>80.046666666666667</v>
      </c>
      <c r="AA373" s="16">
        <v>0.38</v>
      </c>
      <c r="AB373" s="16">
        <v>0.34</v>
      </c>
      <c r="AC373" s="16">
        <f t="shared" si="28"/>
        <v>0.77200000000000002</v>
      </c>
      <c r="AD373" s="21">
        <v>0.77500651926791697</v>
      </c>
      <c r="AE373" s="22" t="str">
        <f t="shared" si="25"/>
        <v>UC Berkeley Lab</v>
      </c>
      <c r="AF373" s="22"/>
    </row>
    <row r="374" spans="1:32" x14ac:dyDescent="0.2">
      <c r="A374" s="1">
        <v>556</v>
      </c>
      <c r="B374" s="13">
        <v>43887</v>
      </c>
      <c r="C374" s="1" t="s">
        <v>35</v>
      </c>
      <c r="D374" s="1" t="s">
        <v>4</v>
      </c>
      <c r="E374" s="1" t="s">
        <v>25</v>
      </c>
      <c r="F374" s="15">
        <v>0.64</v>
      </c>
      <c r="G374" s="15">
        <v>0</v>
      </c>
      <c r="H374" s="15">
        <v>4</v>
      </c>
      <c r="I374" s="15">
        <v>0.7</v>
      </c>
      <c r="J374" s="16">
        <v>0.36499999999999999</v>
      </c>
      <c r="K374" s="16">
        <v>1.117</v>
      </c>
      <c r="L374" s="16">
        <f t="shared" si="29"/>
        <v>1.482</v>
      </c>
      <c r="M374" s="17" t="s">
        <v>29</v>
      </c>
      <c r="N374" s="18">
        <v>100</v>
      </c>
      <c r="O374" s="18">
        <v>24</v>
      </c>
      <c r="P374" s="23">
        <v>0.1</v>
      </c>
      <c r="Q374" s="1" t="s">
        <v>1</v>
      </c>
      <c r="R374" s="20" t="str">
        <f t="shared" si="24"/>
        <v>horizontal</v>
      </c>
      <c r="S374" s="19">
        <v>-0.1</v>
      </c>
      <c r="T374" s="19">
        <v>0</v>
      </c>
      <c r="U374" s="19">
        <v>0</v>
      </c>
      <c r="V374" s="20">
        <v>0</v>
      </c>
      <c r="W374" s="20">
        <v>-1</v>
      </c>
      <c r="Y374" s="18">
        <v>18</v>
      </c>
      <c r="Z374" s="15">
        <v>80.196666666666658</v>
      </c>
      <c r="AA374" s="16">
        <v>0.41</v>
      </c>
      <c r="AB374" s="16">
        <v>0.32</v>
      </c>
      <c r="AC374" s="16">
        <f t="shared" si="28"/>
        <v>0.752</v>
      </c>
      <c r="AD374" s="21">
        <v>0.70788658879852495</v>
      </c>
      <c r="AE374" s="22" t="str">
        <f t="shared" si="25"/>
        <v>UC Berkeley Lab</v>
      </c>
      <c r="AF374" s="22"/>
    </row>
    <row r="375" spans="1:32" x14ac:dyDescent="0.2">
      <c r="A375" s="1">
        <v>557</v>
      </c>
      <c r="B375" s="13">
        <v>43887</v>
      </c>
      <c r="C375" s="1" t="s">
        <v>35</v>
      </c>
      <c r="D375" s="1" t="s">
        <v>4</v>
      </c>
      <c r="E375" s="1" t="s">
        <v>25</v>
      </c>
      <c r="F375" s="15">
        <v>0.64</v>
      </c>
      <c r="G375" s="15">
        <v>0</v>
      </c>
      <c r="H375" s="15">
        <v>4</v>
      </c>
      <c r="I375" s="15">
        <v>0.7</v>
      </c>
      <c r="J375" s="16">
        <v>0.36499999999999999</v>
      </c>
      <c r="K375" s="16">
        <v>1.127</v>
      </c>
      <c r="L375" s="16">
        <f t="shared" si="29"/>
        <v>1.492</v>
      </c>
      <c r="M375" s="17" t="s">
        <v>29</v>
      </c>
      <c r="N375" s="18">
        <v>100</v>
      </c>
      <c r="O375" s="18">
        <v>24</v>
      </c>
      <c r="P375" s="23">
        <v>0.1</v>
      </c>
      <c r="Q375" s="1" t="s">
        <v>2</v>
      </c>
      <c r="R375" s="20" t="str">
        <f t="shared" si="24"/>
        <v>horizontal</v>
      </c>
      <c r="S375" s="19">
        <v>0.1</v>
      </c>
      <c r="T375" s="19">
        <v>0</v>
      </c>
      <c r="U375" s="19">
        <v>0</v>
      </c>
      <c r="V375" s="20">
        <v>0</v>
      </c>
      <c r="W375" s="20">
        <v>-1</v>
      </c>
      <c r="Y375" s="18">
        <v>20</v>
      </c>
      <c r="Z375" s="15">
        <v>80.066666666666677</v>
      </c>
      <c r="AA375" s="16">
        <v>0.4</v>
      </c>
      <c r="AB375" s="16">
        <v>0.35</v>
      </c>
      <c r="AC375" s="16">
        <f t="shared" si="28"/>
        <v>0.7420000000000001</v>
      </c>
      <c r="AD375" s="21">
        <v>1.0352146334275201</v>
      </c>
      <c r="AE375" s="22" t="str">
        <f t="shared" si="25"/>
        <v>UC Berkeley Lab</v>
      </c>
      <c r="AF375" s="22"/>
    </row>
    <row r="376" spans="1:32" x14ac:dyDescent="0.2">
      <c r="A376" s="1">
        <v>558</v>
      </c>
      <c r="B376" s="13">
        <v>43887</v>
      </c>
      <c r="C376" s="1" t="s">
        <v>35</v>
      </c>
      <c r="D376" s="1" t="s">
        <v>4</v>
      </c>
      <c r="E376" s="1" t="s">
        <v>25</v>
      </c>
      <c r="F376" s="15">
        <v>0.64</v>
      </c>
      <c r="G376" s="15">
        <v>0</v>
      </c>
      <c r="H376" s="15">
        <v>4</v>
      </c>
      <c r="I376" s="15">
        <v>0.7</v>
      </c>
      <c r="J376" s="16">
        <v>0.36499999999999999</v>
      </c>
      <c r="K376" s="16">
        <v>1.1259999999999999</v>
      </c>
      <c r="L376" s="16">
        <f t="shared" si="29"/>
        <v>1.4909999999999999</v>
      </c>
      <c r="M376" s="17" t="s">
        <v>29</v>
      </c>
      <c r="N376" s="18">
        <v>100</v>
      </c>
      <c r="O376" s="18">
        <v>24</v>
      </c>
      <c r="P376" s="23">
        <v>0.1</v>
      </c>
      <c r="Q376" s="1" t="s">
        <v>2</v>
      </c>
      <c r="R376" s="20" t="str">
        <f t="shared" si="24"/>
        <v>horizontal</v>
      </c>
      <c r="S376" s="19">
        <v>0.1</v>
      </c>
      <c r="T376" s="19">
        <v>0</v>
      </c>
      <c r="U376" s="19">
        <v>0</v>
      </c>
      <c r="V376" s="20">
        <v>0</v>
      </c>
      <c r="W376" s="20">
        <v>-1</v>
      </c>
      <c r="Y376" s="18">
        <v>20</v>
      </c>
      <c r="Z376" s="15">
        <v>80</v>
      </c>
      <c r="AA376" s="16">
        <v>0.36</v>
      </c>
      <c r="AB376" s="16">
        <v>0.35</v>
      </c>
      <c r="AC376" s="16">
        <f t="shared" si="28"/>
        <v>0.78099999999999981</v>
      </c>
      <c r="AD376" s="21">
        <v>1.08845293546739</v>
      </c>
      <c r="AE376" s="22" t="str">
        <f t="shared" si="25"/>
        <v>UC Berkeley Lab</v>
      </c>
      <c r="AF376" s="22"/>
    </row>
    <row r="377" spans="1:32" x14ac:dyDescent="0.2">
      <c r="A377" s="1">
        <v>559</v>
      </c>
      <c r="B377" s="13">
        <v>43887</v>
      </c>
      <c r="C377" s="1" t="s">
        <v>35</v>
      </c>
      <c r="D377" s="1" t="s">
        <v>4</v>
      </c>
      <c r="E377" s="1" t="s">
        <v>25</v>
      </c>
      <c r="F377" s="15">
        <v>0.64</v>
      </c>
      <c r="G377" s="15">
        <v>0</v>
      </c>
      <c r="H377" s="15">
        <v>4</v>
      </c>
      <c r="I377" s="15">
        <v>0.7</v>
      </c>
      <c r="J377" s="16">
        <v>0.36499999999999999</v>
      </c>
      <c r="K377" s="16">
        <v>1.129</v>
      </c>
      <c r="L377" s="16">
        <f t="shared" si="29"/>
        <v>1.494</v>
      </c>
      <c r="M377" s="17" t="s">
        <v>29</v>
      </c>
      <c r="N377" s="18">
        <v>100</v>
      </c>
      <c r="O377" s="18">
        <v>24</v>
      </c>
      <c r="P377" s="23">
        <v>0.1</v>
      </c>
      <c r="Q377" s="1" t="s">
        <v>2</v>
      </c>
      <c r="R377" s="20" t="str">
        <f t="shared" si="24"/>
        <v>horizontal</v>
      </c>
      <c r="S377" s="19">
        <v>0.1</v>
      </c>
      <c r="T377" s="19">
        <v>0</v>
      </c>
      <c r="U377" s="19">
        <v>0</v>
      </c>
      <c r="V377" s="20">
        <v>0</v>
      </c>
      <c r="W377" s="20">
        <v>-1</v>
      </c>
      <c r="Y377" s="18">
        <v>20</v>
      </c>
      <c r="Z377" s="15">
        <v>79.969999999999985</v>
      </c>
      <c r="AA377" s="16">
        <v>0.4</v>
      </c>
      <c r="AB377" s="16">
        <v>0.35</v>
      </c>
      <c r="AC377" s="16">
        <f t="shared" si="28"/>
        <v>0.74399999999999988</v>
      </c>
      <c r="AD377" s="21">
        <v>1.08271528989348</v>
      </c>
      <c r="AE377" s="22" t="str">
        <f t="shared" si="25"/>
        <v>UC Berkeley Lab</v>
      </c>
      <c r="AF377" s="22"/>
    </row>
    <row r="378" spans="1:32" x14ac:dyDescent="0.2">
      <c r="A378" s="1">
        <v>560</v>
      </c>
      <c r="B378" s="13">
        <v>43887</v>
      </c>
      <c r="C378" s="1" t="s">
        <v>35</v>
      </c>
      <c r="D378" s="1" t="s">
        <v>4</v>
      </c>
      <c r="E378" s="1" t="s">
        <v>25</v>
      </c>
      <c r="F378" s="15">
        <v>0.64</v>
      </c>
      <c r="G378" s="15">
        <v>0</v>
      </c>
      <c r="H378" s="15">
        <v>4</v>
      </c>
      <c r="I378" s="15">
        <v>0.7</v>
      </c>
      <c r="J378" s="16">
        <v>0.36299999999999999</v>
      </c>
      <c r="K378" s="16">
        <v>1.1259999999999999</v>
      </c>
      <c r="L378" s="16">
        <f t="shared" si="29"/>
        <v>1.4889999999999999</v>
      </c>
      <c r="M378" s="17" t="s">
        <v>29</v>
      </c>
      <c r="N378" s="18">
        <v>100</v>
      </c>
      <c r="O378" s="18">
        <v>24</v>
      </c>
      <c r="P378" s="23">
        <v>0.1</v>
      </c>
      <c r="Q378" s="1" t="s">
        <v>2</v>
      </c>
      <c r="R378" s="20" t="str">
        <f t="shared" si="24"/>
        <v>horizontal</v>
      </c>
      <c r="S378" s="19">
        <v>0.1</v>
      </c>
      <c r="T378" s="19">
        <v>0</v>
      </c>
      <c r="U378" s="19">
        <v>0</v>
      </c>
      <c r="V378" s="20">
        <v>0</v>
      </c>
      <c r="W378" s="20">
        <v>-1</v>
      </c>
      <c r="Y378" s="18">
        <v>13</v>
      </c>
      <c r="Z378" s="15">
        <v>80.056666666666672</v>
      </c>
      <c r="AA378" s="16">
        <v>0.39</v>
      </c>
      <c r="AB378" s="16">
        <v>0.35</v>
      </c>
      <c r="AC378" s="16">
        <f t="shared" si="28"/>
        <v>0.74899999999999978</v>
      </c>
      <c r="AD378" s="21">
        <v>1.0142054083519201</v>
      </c>
      <c r="AE378" s="22" t="str">
        <f t="shared" si="25"/>
        <v>UC Berkeley Lab</v>
      </c>
      <c r="AF378" s="22"/>
    </row>
    <row r="379" spans="1:32" x14ac:dyDescent="0.2">
      <c r="A379" s="1">
        <v>561</v>
      </c>
      <c r="B379" s="13">
        <v>43887</v>
      </c>
      <c r="C379" s="1" t="s">
        <v>35</v>
      </c>
      <c r="D379" s="1" t="s">
        <v>4</v>
      </c>
      <c r="E379" s="1" t="s">
        <v>25</v>
      </c>
      <c r="F379" s="15">
        <v>0.64</v>
      </c>
      <c r="G379" s="15">
        <v>0</v>
      </c>
      <c r="H379" s="15">
        <v>4</v>
      </c>
      <c r="I379" s="15">
        <v>0.7</v>
      </c>
      <c r="J379" s="16">
        <v>0.36</v>
      </c>
      <c r="K379" s="16">
        <v>1.1279999999999999</v>
      </c>
      <c r="L379" s="16">
        <f t="shared" si="29"/>
        <v>1.488</v>
      </c>
      <c r="M379" s="17" t="s">
        <v>29</v>
      </c>
      <c r="N379" s="18">
        <v>100</v>
      </c>
      <c r="O379" s="18">
        <v>24</v>
      </c>
      <c r="P379" s="23">
        <v>0.1</v>
      </c>
      <c r="Q379" s="1" t="s">
        <v>2</v>
      </c>
      <c r="R379" s="20" t="str">
        <f t="shared" si="24"/>
        <v>horizontal</v>
      </c>
      <c r="S379" s="19">
        <v>0.1</v>
      </c>
      <c r="T379" s="19">
        <v>0</v>
      </c>
      <c r="U379" s="19">
        <v>0</v>
      </c>
      <c r="V379" s="20">
        <v>0</v>
      </c>
      <c r="W379" s="20">
        <v>-1</v>
      </c>
      <c r="Y379" s="18">
        <v>18</v>
      </c>
      <c r="Z379" s="15">
        <v>80.11666666666666</v>
      </c>
      <c r="AA379" s="16">
        <v>0.4</v>
      </c>
      <c r="AB379" s="16">
        <v>0.36</v>
      </c>
      <c r="AC379" s="16">
        <f t="shared" si="28"/>
        <v>0.72800000000000009</v>
      </c>
      <c r="AD379" s="21">
        <v>1.08269503757439</v>
      </c>
      <c r="AE379" s="22" t="str">
        <f t="shared" si="25"/>
        <v>UC Berkeley Lab</v>
      </c>
      <c r="AF379" s="22"/>
    </row>
    <row r="380" spans="1:32" x14ac:dyDescent="0.2">
      <c r="A380" s="1">
        <v>562</v>
      </c>
      <c r="B380" s="13">
        <v>43888</v>
      </c>
      <c r="C380" s="1" t="s">
        <v>35</v>
      </c>
      <c r="D380" s="1" t="s">
        <v>4</v>
      </c>
      <c r="E380" s="1" t="s">
        <v>25</v>
      </c>
      <c r="F380" s="15">
        <v>0.64</v>
      </c>
      <c r="G380" s="15">
        <v>0</v>
      </c>
      <c r="H380" s="15">
        <v>4</v>
      </c>
      <c r="I380" s="15">
        <v>0.7</v>
      </c>
      <c r="J380" s="16">
        <v>0.36699999999999999</v>
      </c>
      <c r="K380" s="16">
        <v>1.1319999999999999</v>
      </c>
      <c r="L380" s="16">
        <f t="shared" ref="L380:L390" si="30">SUM(J380:K380)</f>
        <v>1.4989999999999999</v>
      </c>
      <c r="M380" s="17" t="s">
        <v>29</v>
      </c>
      <c r="N380" s="18">
        <v>100</v>
      </c>
      <c r="O380" s="18">
        <v>24</v>
      </c>
      <c r="P380" s="23">
        <v>0.2</v>
      </c>
      <c r="Q380" s="1" t="s">
        <v>2</v>
      </c>
      <c r="R380" s="20" t="str">
        <f t="shared" si="24"/>
        <v>horizontal</v>
      </c>
      <c r="S380" s="19">
        <v>0.2</v>
      </c>
      <c r="T380" s="19">
        <v>0</v>
      </c>
      <c r="U380" s="19">
        <v>0</v>
      </c>
      <c r="V380" s="20">
        <v>0</v>
      </c>
      <c r="W380" s="20">
        <v>-1</v>
      </c>
      <c r="Y380" s="18">
        <v>22</v>
      </c>
      <c r="Z380" s="15">
        <v>80.00333333333333</v>
      </c>
      <c r="AA380" s="16">
        <v>0.41</v>
      </c>
      <c r="AB380" s="16">
        <v>0.36</v>
      </c>
      <c r="AC380" s="16">
        <f t="shared" si="28"/>
        <v>0.72899999999999998</v>
      </c>
      <c r="AD380" s="21">
        <v>1.1120878813452599</v>
      </c>
      <c r="AE380" s="22" t="str">
        <f t="shared" si="25"/>
        <v>UC Berkeley Lab</v>
      </c>
      <c r="AF380" s="22"/>
    </row>
    <row r="381" spans="1:32" x14ac:dyDescent="0.2">
      <c r="A381" s="1">
        <v>563</v>
      </c>
      <c r="B381" s="13">
        <v>43888</v>
      </c>
      <c r="C381" s="1" t="s">
        <v>35</v>
      </c>
      <c r="D381" s="1" t="s">
        <v>4</v>
      </c>
      <c r="E381" s="1" t="s">
        <v>25</v>
      </c>
      <c r="F381" s="15">
        <v>0.64</v>
      </c>
      <c r="G381" s="15">
        <v>0</v>
      </c>
      <c r="H381" s="15">
        <v>4</v>
      </c>
      <c r="I381" s="15">
        <v>0.7</v>
      </c>
      <c r="J381" s="16">
        <v>0.36199999999999999</v>
      </c>
      <c r="K381" s="16">
        <v>1.1259999999999999</v>
      </c>
      <c r="L381" s="16">
        <f t="shared" si="30"/>
        <v>1.488</v>
      </c>
      <c r="M381" s="17" t="s">
        <v>29</v>
      </c>
      <c r="N381" s="18">
        <v>100</v>
      </c>
      <c r="O381" s="18">
        <v>27</v>
      </c>
      <c r="P381" s="23">
        <v>0.2</v>
      </c>
      <c r="Q381" s="1" t="s">
        <v>2</v>
      </c>
      <c r="R381" s="20" t="str">
        <f t="shared" si="24"/>
        <v>horizontal</v>
      </c>
      <c r="S381" s="19">
        <v>0.2</v>
      </c>
      <c r="T381" s="19">
        <v>0</v>
      </c>
      <c r="U381" s="19">
        <v>0</v>
      </c>
      <c r="V381" s="20">
        <v>0</v>
      </c>
      <c r="W381" s="20">
        <v>-1</v>
      </c>
      <c r="Y381" s="18">
        <v>20</v>
      </c>
      <c r="Z381" s="15">
        <v>40.033333333333339</v>
      </c>
      <c r="AA381" s="16">
        <v>0.28999999999999998</v>
      </c>
      <c r="AB381" s="16">
        <v>0.36</v>
      </c>
      <c r="AC381" s="16">
        <f t="shared" si="28"/>
        <v>0.83799999999999997</v>
      </c>
      <c r="AD381" s="21">
        <v>1.1763678520632701</v>
      </c>
      <c r="AE381" s="22" t="str">
        <f t="shared" si="25"/>
        <v>UC Berkeley Lab</v>
      </c>
      <c r="AF381" s="22"/>
    </row>
    <row r="382" spans="1:32" x14ac:dyDescent="0.2">
      <c r="A382" s="1">
        <v>564</v>
      </c>
      <c r="B382" s="13">
        <v>43888</v>
      </c>
      <c r="C382" s="1" t="s">
        <v>35</v>
      </c>
      <c r="D382" s="1" t="s">
        <v>4</v>
      </c>
      <c r="E382" s="1" t="s">
        <v>25</v>
      </c>
      <c r="F382" s="15">
        <v>0.64</v>
      </c>
      <c r="G382" s="15">
        <v>0</v>
      </c>
      <c r="H382" s="15">
        <v>4</v>
      </c>
      <c r="I382" s="15">
        <v>0.7</v>
      </c>
      <c r="J382" s="16">
        <v>0.36399999999999999</v>
      </c>
      <c r="K382" s="16">
        <v>1.123</v>
      </c>
      <c r="L382" s="16">
        <f t="shared" si="30"/>
        <v>1.4870000000000001</v>
      </c>
      <c r="M382" s="17" t="s">
        <v>29</v>
      </c>
      <c r="N382" s="18">
        <v>100</v>
      </c>
      <c r="O382" s="18">
        <v>27</v>
      </c>
      <c r="P382" s="23">
        <v>0.2</v>
      </c>
      <c r="Q382" s="1" t="s">
        <v>2</v>
      </c>
      <c r="R382" s="20" t="str">
        <f t="shared" si="24"/>
        <v>horizontal</v>
      </c>
      <c r="S382" s="19">
        <v>0.2</v>
      </c>
      <c r="T382" s="19">
        <v>0</v>
      </c>
      <c r="U382" s="19">
        <v>0</v>
      </c>
      <c r="V382" s="20">
        <v>0</v>
      </c>
      <c r="W382" s="20">
        <v>-1</v>
      </c>
      <c r="Y382" s="18">
        <v>22</v>
      </c>
      <c r="Z382" s="15">
        <v>40.1</v>
      </c>
      <c r="AA382" s="16">
        <v>0.32</v>
      </c>
      <c r="AB382" s="16">
        <v>0.35</v>
      </c>
      <c r="AC382" s="16">
        <f t="shared" si="28"/>
        <v>0.81700000000000006</v>
      </c>
      <c r="AD382" s="21">
        <v>1.2532572201296599</v>
      </c>
      <c r="AE382" s="22" t="str">
        <f t="shared" si="25"/>
        <v>UC Berkeley Lab</v>
      </c>
      <c r="AF382" s="22"/>
    </row>
    <row r="383" spans="1:32" x14ac:dyDescent="0.2">
      <c r="A383" s="1">
        <v>565</v>
      </c>
      <c r="B383" s="13">
        <v>43888</v>
      </c>
      <c r="C383" s="1" t="s">
        <v>35</v>
      </c>
      <c r="D383" s="1" t="s">
        <v>4</v>
      </c>
      <c r="E383" s="1" t="s">
        <v>25</v>
      </c>
      <c r="F383" s="15">
        <v>0.64</v>
      </c>
      <c r="G383" s="15">
        <v>0</v>
      </c>
      <c r="H383" s="15">
        <v>4</v>
      </c>
      <c r="I383" s="15">
        <v>0.7</v>
      </c>
      <c r="J383" s="16">
        <v>0.36399999999999999</v>
      </c>
      <c r="K383" s="16">
        <v>1.127</v>
      </c>
      <c r="L383" s="16">
        <f t="shared" si="30"/>
        <v>1.4910000000000001</v>
      </c>
      <c r="M383" s="17" t="s">
        <v>29</v>
      </c>
      <c r="N383" s="18">
        <v>100</v>
      </c>
      <c r="O383" s="18">
        <v>27</v>
      </c>
      <c r="P383" s="23">
        <v>0.2</v>
      </c>
      <c r="Q383" s="1" t="s">
        <v>2</v>
      </c>
      <c r="R383" s="20" t="str">
        <f t="shared" si="24"/>
        <v>horizontal</v>
      </c>
      <c r="S383" s="19">
        <v>0.2</v>
      </c>
      <c r="T383" s="19">
        <v>0</v>
      </c>
      <c r="U383" s="19">
        <v>0</v>
      </c>
      <c r="V383" s="20">
        <v>0</v>
      </c>
      <c r="W383" s="20">
        <v>-1</v>
      </c>
      <c r="Y383" s="18">
        <v>20</v>
      </c>
      <c r="Z383" s="15">
        <v>40.143333333333338</v>
      </c>
      <c r="AA383" s="16">
        <v>0.31</v>
      </c>
      <c r="AB383" s="16">
        <v>0.36</v>
      </c>
      <c r="AC383" s="16">
        <f t="shared" si="28"/>
        <v>0.82100000000000006</v>
      </c>
      <c r="AD383" s="21">
        <v>1.17010098588078</v>
      </c>
      <c r="AE383" s="22" t="str">
        <f t="shared" si="25"/>
        <v>UC Berkeley Lab</v>
      </c>
      <c r="AF383" s="22"/>
    </row>
    <row r="384" spans="1:32" x14ac:dyDescent="0.2">
      <c r="A384" s="1">
        <v>566</v>
      </c>
      <c r="B384" s="13">
        <v>43888</v>
      </c>
      <c r="C384" s="1" t="s">
        <v>35</v>
      </c>
      <c r="D384" s="1" t="s">
        <v>4</v>
      </c>
      <c r="E384" s="1" t="s">
        <v>25</v>
      </c>
      <c r="F384" s="15">
        <v>0.64</v>
      </c>
      <c r="G384" s="15">
        <v>0</v>
      </c>
      <c r="H384" s="15">
        <v>4</v>
      </c>
      <c r="I384" s="15">
        <v>0.7</v>
      </c>
      <c r="J384" s="16">
        <v>0.35899999999999999</v>
      </c>
      <c r="K384" s="16">
        <v>1.1379999999999999</v>
      </c>
      <c r="L384" s="16">
        <f t="shared" si="30"/>
        <v>1.4969999999999999</v>
      </c>
      <c r="M384" s="17" t="s">
        <v>29</v>
      </c>
      <c r="N384" s="18">
        <v>100</v>
      </c>
      <c r="O384" s="18">
        <v>27</v>
      </c>
      <c r="P384" s="23">
        <v>0.2</v>
      </c>
      <c r="Q384" s="1" t="s">
        <v>2</v>
      </c>
      <c r="R384" s="20" t="str">
        <f t="shared" si="24"/>
        <v>horizontal</v>
      </c>
      <c r="S384" s="19">
        <v>0.2</v>
      </c>
      <c r="T384" s="19">
        <v>0</v>
      </c>
      <c r="U384" s="19">
        <v>0</v>
      </c>
      <c r="V384" s="20">
        <v>0</v>
      </c>
      <c r="W384" s="20">
        <v>-1</v>
      </c>
      <c r="Y384" s="18">
        <v>20</v>
      </c>
      <c r="Z384" s="15">
        <v>40.016666666666673</v>
      </c>
      <c r="AA384" s="16">
        <v>0.31</v>
      </c>
      <c r="AB384" s="16">
        <v>0.36</v>
      </c>
      <c r="AC384" s="16">
        <f t="shared" si="28"/>
        <v>0.82699999999999985</v>
      </c>
      <c r="AD384" s="21">
        <v>1.2523978933482101</v>
      </c>
      <c r="AE384" s="22" t="str">
        <f t="shared" si="25"/>
        <v>UC Berkeley Lab</v>
      </c>
      <c r="AF384" s="22"/>
    </row>
    <row r="385" spans="1:32" x14ac:dyDescent="0.2">
      <c r="A385" s="1">
        <v>567</v>
      </c>
      <c r="B385" s="13">
        <v>43888</v>
      </c>
      <c r="C385" s="1" t="s">
        <v>35</v>
      </c>
      <c r="D385" s="1" t="s">
        <v>4</v>
      </c>
      <c r="E385" s="1" t="s">
        <v>25</v>
      </c>
      <c r="F385" s="15">
        <v>0.64</v>
      </c>
      <c r="G385" s="15">
        <v>0</v>
      </c>
      <c r="H385" s="15">
        <v>4</v>
      </c>
      <c r="I385" s="15">
        <v>0.7</v>
      </c>
      <c r="J385" s="16">
        <v>0.36299999999999999</v>
      </c>
      <c r="K385" s="16">
        <v>1.123</v>
      </c>
      <c r="L385" s="16">
        <f t="shared" si="30"/>
        <v>1.486</v>
      </c>
      <c r="M385" s="17" t="s">
        <v>29</v>
      </c>
      <c r="N385" s="18">
        <v>100</v>
      </c>
      <c r="O385" s="18">
        <v>27</v>
      </c>
      <c r="P385" s="23">
        <v>0.2</v>
      </c>
      <c r="Q385" s="1" t="s">
        <v>2</v>
      </c>
      <c r="R385" s="20" t="str">
        <f t="shared" si="24"/>
        <v>horizontal</v>
      </c>
      <c r="S385" s="19">
        <v>0.2</v>
      </c>
      <c r="T385" s="19">
        <v>0</v>
      </c>
      <c r="U385" s="19">
        <v>0</v>
      </c>
      <c r="V385" s="20">
        <v>0</v>
      </c>
      <c r="W385" s="20">
        <v>-1</v>
      </c>
      <c r="Y385" s="18">
        <v>18</v>
      </c>
      <c r="Z385" s="15">
        <v>39.973333333333329</v>
      </c>
      <c r="AA385" s="16">
        <v>0.31</v>
      </c>
      <c r="AB385" s="16">
        <v>0.36</v>
      </c>
      <c r="AC385" s="16">
        <f t="shared" si="28"/>
        <v>0.81599999999999995</v>
      </c>
      <c r="AD385" s="21">
        <v>1.3060077129572001</v>
      </c>
      <c r="AE385" s="22" t="str">
        <f t="shared" si="25"/>
        <v>UC Berkeley Lab</v>
      </c>
      <c r="AF385" s="22"/>
    </row>
    <row r="386" spans="1:32" x14ac:dyDescent="0.2">
      <c r="A386" s="1">
        <v>568</v>
      </c>
      <c r="B386" s="13">
        <v>43888</v>
      </c>
      <c r="C386" s="1" t="s">
        <v>35</v>
      </c>
      <c r="D386" s="1" t="s">
        <v>4</v>
      </c>
      <c r="E386" s="1" t="s">
        <v>25</v>
      </c>
      <c r="F386" s="15">
        <v>0.64</v>
      </c>
      <c r="G386" s="15">
        <v>0</v>
      </c>
      <c r="H386" s="15">
        <v>4</v>
      </c>
      <c r="I386" s="15">
        <v>0.7</v>
      </c>
      <c r="J386" s="16">
        <v>0.36299999999999999</v>
      </c>
      <c r="K386" s="16">
        <v>1.133</v>
      </c>
      <c r="L386" s="16">
        <f t="shared" si="30"/>
        <v>1.496</v>
      </c>
      <c r="M386" s="17" t="s">
        <v>29</v>
      </c>
      <c r="N386" s="18">
        <v>100</v>
      </c>
      <c r="O386" s="18">
        <v>24</v>
      </c>
      <c r="P386" s="23">
        <v>0.2</v>
      </c>
      <c r="Q386" s="1" t="s">
        <v>2</v>
      </c>
      <c r="R386" s="20" t="str">
        <f t="shared" si="24"/>
        <v>horizontal</v>
      </c>
      <c r="S386" s="19">
        <v>0.2</v>
      </c>
      <c r="T386" s="19">
        <v>0</v>
      </c>
      <c r="U386" s="19">
        <v>0</v>
      </c>
      <c r="V386" s="20">
        <v>0</v>
      </c>
      <c r="W386" s="20">
        <v>-1</v>
      </c>
      <c r="Y386" s="18">
        <v>20</v>
      </c>
      <c r="Z386" s="15">
        <v>40.113333333333337</v>
      </c>
      <c r="AA386" s="16">
        <v>0.28999999999999998</v>
      </c>
      <c r="AB386" s="16">
        <v>0.36</v>
      </c>
      <c r="AC386" s="16">
        <f t="shared" si="28"/>
        <v>0.84599999999999997</v>
      </c>
      <c r="AD386" s="21">
        <v>1.01601339226316</v>
      </c>
      <c r="AE386" s="22" t="str">
        <f t="shared" si="25"/>
        <v>UC Berkeley Lab</v>
      </c>
      <c r="AF386" s="22"/>
    </row>
    <row r="387" spans="1:32" x14ac:dyDescent="0.2">
      <c r="A387" s="1">
        <v>569</v>
      </c>
      <c r="B387" s="13">
        <v>43888</v>
      </c>
      <c r="C387" s="1" t="s">
        <v>35</v>
      </c>
      <c r="D387" s="1" t="s">
        <v>4</v>
      </c>
      <c r="E387" s="1" t="s">
        <v>25</v>
      </c>
      <c r="F387" s="15">
        <v>0.64</v>
      </c>
      <c r="G387" s="15">
        <v>0</v>
      </c>
      <c r="H387" s="15">
        <v>4</v>
      </c>
      <c r="I387" s="15">
        <v>0.7</v>
      </c>
      <c r="J387" s="16">
        <v>0.36299999999999999</v>
      </c>
      <c r="K387" s="16">
        <v>1.125</v>
      </c>
      <c r="L387" s="16">
        <f t="shared" si="30"/>
        <v>1.488</v>
      </c>
      <c r="M387" s="17" t="s">
        <v>29</v>
      </c>
      <c r="N387" s="18">
        <v>100</v>
      </c>
      <c r="O387" s="18">
        <v>24</v>
      </c>
      <c r="P387" s="23">
        <v>0.2</v>
      </c>
      <c r="Q387" s="1" t="s">
        <v>2</v>
      </c>
      <c r="R387" s="20" t="str">
        <f t="shared" si="24"/>
        <v>horizontal</v>
      </c>
      <c r="S387" s="19">
        <v>0.2</v>
      </c>
      <c r="T387" s="19">
        <v>0</v>
      </c>
      <c r="U387" s="19">
        <v>0</v>
      </c>
      <c r="V387" s="20">
        <v>0</v>
      </c>
      <c r="W387" s="20">
        <v>-1</v>
      </c>
      <c r="Y387" s="18">
        <v>20</v>
      </c>
      <c r="Z387" s="15">
        <v>40.043333333333329</v>
      </c>
      <c r="AA387" s="16">
        <v>0.26</v>
      </c>
      <c r="AB387" s="16">
        <v>0.36</v>
      </c>
      <c r="AC387" s="16">
        <f t="shared" si="28"/>
        <v>0.86799999999999999</v>
      </c>
      <c r="AD387" s="21">
        <v>1.0586253846403</v>
      </c>
      <c r="AE387" s="22" t="str">
        <f t="shared" si="25"/>
        <v>UC Berkeley Lab</v>
      </c>
      <c r="AF387" s="22"/>
    </row>
    <row r="388" spans="1:32" x14ac:dyDescent="0.2">
      <c r="A388" s="1">
        <v>570</v>
      </c>
      <c r="B388" s="13">
        <v>43888</v>
      </c>
      <c r="C388" s="1" t="s">
        <v>35</v>
      </c>
      <c r="D388" s="1" t="s">
        <v>4</v>
      </c>
      <c r="E388" s="1" t="s">
        <v>25</v>
      </c>
      <c r="F388" s="15">
        <v>0.64</v>
      </c>
      <c r="G388" s="15">
        <v>0</v>
      </c>
      <c r="H388" s="15">
        <v>4</v>
      </c>
      <c r="I388" s="15">
        <v>0.7</v>
      </c>
      <c r="J388" s="16">
        <v>0.36699999999999999</v>
      </c>
      <c r="K388" s="16">
        <v>1.125</v>
      </c>
      <c r="L388" s="16">
        <f t="shared" si="30"/>
        <v>1.492</v>
      </c>
      <c r="M388" s="17" t="s">
        <v>29</v>
      </c>
      <c r="N388" s="18">
        <v>100</v>
      </c>
      <c r="O388" s="18">
        <v>24</v>
      </c>
      <c r="P388" s="23">
        <v>0.2</v>
      </c>
      <c r="Q388" s="1" t="s">
        <v>2</v>
      </c>
      <c r="R388" s="20" t="str">
        <f t="shared" ref="R388:R451" si="31">R387</f>
        <v>horizontal</v>
      </c>
      <c r="S388" s="19">
        <v>0.2</v>
      </c>
      <c r="T388" s="19">
        <v>0</v>
      </c>
      <c r="U388" s="19">
        <v>0</v>
      </c>
      <c r="V388" s="20">
        <v>0</v>
      </c>
      <c r="W388" s="20">
        <v>-1</v>
      </c>
      <c r="Y388" s="18">
        <v>18</v>
      </c>
      <c r="Z388" s="15">
        <v>40.103333333333332</v>
      </c>
      <c r="AA388" s="16">
        <v>0.3</v>
      </c>
      <c r="AB388" s="16">
        <v>0.36</v>
      </c>
      <c r="AC388" s="16">
        <f t="shared" si="28"/>
        <v>0.83199999999999996</v>
      </c>
      <c r="AD388" s="21">
        <v>1.1475753114951599</v>
      </c>
      <c r="AE388" s="22" t="str">
        <f>AE387</f>
        <v>UC Berkeley Lab</v>
      </c>
      <c r="AF388" s="22"/>
    </row>
    <row r="389" spans="1:32" x14ac:dyDescent="0.2">
      <c r="A389" s="1">
        <v>571</v>
      </c>
      <c r="B389" s="13">
        <v>43889</v>
      </c>
      <c r="C389" s="1" t="s">
        <v>35</v>
      </c>
      <c r="D389" s="1" t="s">
        <v>4</v>
      </c>
      <c r="E389" s="1" t="s">
        <v>25</v>
      </c>
      <c r="F389" s="15">
        <v>0.64</v>
      </c>
      <c r="G389" s="15">
        <v>0</v>
      </c>
      <c r="H389" s="15">
        <v>4</v>
      </c>
      <c r="I389" s="15">
        <v>0.7</v>
      </c>
      <c r="J389" s="16">
        <v>0.36499999999999999</v>
      </c>
      <c r="K389" s="16">
        <v>1.1259999999999999</v>
      </c>
      <c r="L389" s="16">
        <f t="shared" si="30"/>
        <v>1.4909999999999999</v>
      </c>
      <c r="M389" s="17" t="s">
        <v>29</v>
      </c>
      <c r="N389" s="18">
        <v>100</v>
      </c>
      <c r="O389" s="18">
        <v>24</v>
      </c>
      <c r="P389" s="23">
        <v>0.2</v>
      </c>
      <c r="Q389" s="1" t="s">
        <v>2</v>
      </c>
      <c r="R389" s="20" t="str">
        <f t="shared" si="31"/>
        <v>horizontal</v>
      </c>
      <c r="S389" s="19">
        <v>0.2</v>
      </c>
      <c r="T389" s="19">
        <v>0</v>
      </c>
      <c r="U389" s="19">
        <v>0</v>
      </c>
      <c r="V389" s="20">
        <v>0</v>
      </c>
      <c r="W389" s="20">
        <v>-1</v>
      </c>
      <c r="Y389" s="18">
        <v>22</v>
      </c>
      <c r="Z389" s="15">
        <v>40.15</v>
      </c>
      <c r="AA389" s="16">
        <v>0.25</v>
      </c>
      <c r="AB389" s="16">
        <v>0.34</v>
      </c>
      <c r="AC389" s="16">
        <f t="shared" si="28"/>
        <v>0.9009999999999998</v>
      </c>
      <c r="AD389" s="21">
        <v>1.06942966106121</v>
      </c>
      <c r="AE389" s="22" t="str">
        <f>AE388</f>
        <v>UC Berkeley Lab</v>
      </c>
      <c r="AF389" s="22"/>
    </row>
    <row r="390" spans="1:32" s="5" customFormat="1" ht="16" thickBot="1" x14ac:dyDescent="0.25">
      <c r="A390" s="1">
        <v>572</v>
      </c>
      <c r="B390" s="24">
        <v>43889</v>
      </c>
      <c r="C390" s="5" t="s">
        <v>35</v>
      </c>
      <c r="D390" s="5" t="s">
        <v>4</v>
      </c>
      <c r="E390" s="5" t="s">
        <v>25</v>
      </c>
      <c r="F390" s="25">
        <v>0.64</v>
      </c>
      <c r="G390" s="25">
        <v>0</v>
      </c>
      <c r="H390" s="25">
        <v>4</v>
      </c>
      <c r="I390" s="25">
        <v>0.7</v>
      </c>
      <c r="J390" s="26">
        <v>0.34499999999999997</v>
      </c>
      <c r="K390" s="26">
        <v>1.1220000000000001</v>
      </c>
      <c r="L390" s="26">
        <f t="shared" si="30"/>
        <v>1.4670000000000001</v>
      </c>
      <c r="M390" s="27" t="s">
        <v>29</v>
      </c>
      <c r="N390" s="28">
        <v>100</v>
      </c>
      <c r="O390" s="28">
        <v>24</v>
      </c>
      <c r="P390" s="29">
        <v>0.2</v>
      </c>
      <c r="Q390" s="5" t="s">
        <v>2</v>
      </c>
      <c r="R390" s="20" t="str">
        <f t="shared" si="31"/>
        <v>horizontal</v>
      </c>
      <c r="S390" s="30">
        <v>0.2</v>
      </c>
      <c r="T390" s="30">
        <v>0</v>
      </c>
      <c r="U390" s="30">
        <v>0</v>
      </c>
      <c r="V390" s="31">
        <v>0</v>
      </c>
      <c r="W390" s="31">
        <v>-1</v>
      </c>
      <c r="Y390" s="28">
        <v>20</v>
      </c>
      <c r="Z390" s="25">
        <v>39.94</v>
      </c>
      <c r="AA390" s="26">
        <v>0.28000000000000003</v>
      </c>
      <c r="AB390" s="26">
        <v>0.33</v>
      </c>
      <c r="AC390" s="26">
        <f t="shared" si="28"/>
        <v>0.85699999999999998</v>
      </c>
      <c r="AD390" s="32">
        <v>1.0057217167169901</v>
      </c>
      <c r="AE390" s="22" t="str">
        <f>AE389</f>
        <v>UC Berkeley Lab</v>
      </c>
      <c r="AF390" s="33"/>
    </row>
    <row r="391" spans="1:32" s="3" customFormat="1" x14ac:dyDescent="0.2">
      <c r="A391" s="1">
        <v>573</v>
      </c>
      <c r="D391" s="3" t="s">
        <v>9</v>
      </c>
      <c r="E391" s="3" t="s">
        <v>25</v>
      </c>
      <c r="F391" s="3">
        <v>0.5</v>
      </c>
      <c r="G391" s="3">
        <v>0</v>
      </c>
      <c r="H391" s="3">
        <v>0.8</v>
      </c>
      <c r="I391" s="3">
        <f t="shared" ref="I391:I422" si="32">F391</f>
        <v>0.5</v>
      </c>
      <c r="O391" s="3">
        <v>21</v>
      </c>
      <c r="P391" s="34">
        <v>0</v>
      </c>
      <c r="Q391" s="3" t="s">
        <v>33</v>
      </c>
      <c r="R391" s="20" t="str">
        <f t="shared" si="31"/>
        <v>horizontal</v>
      </c>
      <c r="S391" s="35">
        <v>0</v>
      </c>
      <c r="T391" s="35">
        <v>0</v>
      </c>
      <c r="U391" s="35">
        <v>0</v>
      </c>
      <c r="V391" s="36">
        <v>0</v>
      </c>
      <c r="W391" s="36">
        <v>-1</v>
      </c>
      <c r="Z391" s="3">
        <v>25</v>
      </c>
      <c r="AD391" s="3">
        <v>2.48</v>
      </c>
      <c r="AE391" s="37" t="s">
        <v>64</v>
      </c>
      <c r="AF391" s="22"/>
    </row>
    <row r="392" spans="1:32" x14ac:dyDescent="0.2">
      <c r="A392" s="1">
        <v>574</v>
      </c>
      <c r="B392" s="1"/>
      <c r="D392" s="1" t="s">
        <v>9</v>
      </c>
      <c r="E392" s="1" t="s">
        <v>25</v>
      </c>
      <c r="F392" s="1">
        <v>0.5</v>
      </c>
      <c r="G392" s="1">
        <v>0</v>
      </c>
      <c r="H392" s="1">
        <v>0.8</v>
      </c>
      <c r="I392" s="1">
        <f t="shared" si="32"/>
        <v>0.5</v>
      </c>
      <c r="J392" s="1"/>
      <c r="K392" s="1"/>
      <c r="L392" s="1"/>
      <c r="M392" s="1"/>
      <c r="N392" s="1"/>
      <c r="O392" s="1">
        <v>21</v>
      </c>
      <c r="P392" s="15">
        <v>0</v>
      </c>
      <c r="Q392" s="1" t="s">
        <v>33</v>
      </c>
      <c r="R392" s="20" t="str">
        <f t="shared" si="31"/>
        <v>horizontal</v>
      </c>
      <c r="S392" s="19">
        <v>0</v>
      </c>
      <c r="T392" s="19">
        <v>0</v>
      </c>
      <c r="U392" s="19">
        <v>0</v>
      </c>
      <c r="V392" s="20">
        <v>0</v>
      </c>
      <c r="W392" s="20">
        <v>-1</v>
      </c>
      <c r="Y392" s="1"/>
      <c r="Z392" s="1">
        <v>28</v>
      </c>
      <c r="AA392" s="1"/>
      <c r="AB392" s="1"/>
      <c r="AC392" s="1"/>
      <c r="AD392" s="1">
        <v>2.66</v>
      </c>
      <c r="AE392" s="22" t="s">
        <v>64</v>
      </c>
      <c r="AF392" s="22"/>
    </row>
    <row r="393" spans="1:32" x14ac:dyDescent="0.2">
      <c r="A393" s="1">
        <v>575</v>
      </c>
      <c r="B393" s="1"/>
      <c r="D393" s="1" t="s">
        <v>9</v>
      </c>
      <c r="E393" s="1" t="s">
        <v>25</v>
      </c>
      <c r="F393" s="1">
        <v>0.5</v>
      </c>
      <c r="G393" s="1">
        <v>0</v>
      </c>
      <c r="H393" s="1">
        <v>0.8</v>
      </c>
      <c r="I393" s="1">
        <f t="shared" si="32"/>
        <v>0.5</v>
      </c>
      <c r="J393" s="1"/>
      <c r="K393" s="1"/>
      <c r="L393" s="1"/>
      <c r="M393" s="1"/>
      <c r="N393" s="1"/>
      <c r="O393" s="1">
        <v>21</v>
      </c>
      <c r="P393" s="15">
        <v>0</v>
      </c>
      <c r="Q393" s="1" t="s">
        <v>33</v>
      </c>
      <c r="R393" s="20" t="str">
        <f t="shared" si="31"/>
        <v>horizontal</v>
      </c>
      <c r="S393" s="19">
        <v>0</v>
      </c>
      <c r="T393" s="19">
        <v>0</v>
      </c>
      <c r="U393" s="19">
        <v>0</v>
      </c>
      <c r="V393" s="20">
        <v>0</v>
      </c>
      <c r="W393" s="20">
        <v>-1</v>
      </c>
      <c r="Y393" s="1"/>
      <c r="Z393" s="1">
        <v>30</v>
      </c>
      <c r="AA393" s="1"/>
      <c r="AB393" s="1"/>
      <c r="AC393" s="1"/>
      <c r="AD393" s="1">
        <v>2.61</v>
      </c>
      <c r="AE393" s="22" t="s">
        <v>64</v>
      </c>
      <c r="AF393" s="22"/>
    </row>
    <row r="394" spans="1:32" x14ac:dyDescent="0.2">
      <c r="A394" s="1">
        <v>576</v>
      </c>
      <c r="B394" s="1"/>
      <c r="D394" s="1" t="s">
        <v>9</v>
      </c>
      <c r="E394" s="1" t="s">
        <v>25</v>
      </c>
      <c r="F394" s="1">
        <v>0.5</v>
      </c>
      <c r="G394" s="1">
        <v>0</v>
      </c>
      <c r="H394" s="1">
        <v>0.8</v>
      </c>
      <c r="I394" s="1">
        <f t="shared" si="32"/>
        <v>0.5</v>
      </c>
      <c r="J394" s="1"/>
      <c r="K394" s="1"/>
      <c r="L394" s="1"/>
      <c r="M394" s="1"/>
      <c r="N394" s="1"/>
      <c r="O394" s="1">
        <v>21</v>
      </c>
      <c r="P394" s="15">
        <v>0</v>
      </c>
      <c r="Q394" s="1" t="s">
        <v>33</v>
      </c>
      <c r="R394" s="20" t="str">
        <f t="shared" si="31"/>
        <v>horizontal</v>
      </c>
      <c r="S394" s="19">
        <v>0</v>
      </c>
      <c r="T394" s="19">
        <v>0</v>
      </c>
      <c r="U394" s="19">
        <v>0</v>
      </c>
      <c r="V394" s="20">
        <v>0</v>
      </c>
      <c r="W394" s="20">
        <v>-1</v>
      </c>
      <c r="Y394" s="1"/>
      <c r="Z394" s="1">
        <v>40</v>
      </c>
      <c r="AA394" s="1"/>
      <c r="AB394" s="1"/>
      <c r="AC394" s="1"/>
      <c r="AD394" s="1">
        <v>2.5299999999999998</v>
      </c>
      <c r="AE394" s="22" t="s">
        <v>64</v>
      </c>
      <c r="AF394" s="22"/>
    </row>
    <row r="395" spans="1:32" x14ac:dyDescent="0.2">
      <c r="A395" s="1">
        <v>577</v>
      </c>
      <c r="B395" s="1"/>
      <c r="D395" s="1" t="s">
        <v>9</v>
      </c>
      <c r="E395" s="1" t="s">
        <v>25</v>
      </c>
      <c r="F395" s="1">
        <v>0.5</v>
      </c>
      <c r="G395" s="1">
        <v>0</v>
      </c>
      <c r="H395" s="1">
        <v>0.8</v>
      </c>
      <c r="I395" s="1">
        <f t="shared" si="32"/>
        <v>0.5</v>
      </c>
      <c r="J395" s="1"/>
      <c r="K395" s="1"/>
      <c r="L395" s="1"/>
      <c r="M395" s="1"/>
      <c r="N395" s="1"/>
      <c r="O395" s="1">
        <v>21</v>
      </c>
      <c r="P395" s="15">
        <v>0</v>
      </c>
      <c r="Q395" s="1" t="s">
        <v>33</v>
      </c>
      <c r="R395" s="20" t="str">
        <f t="shared" si="31"/>
        <v>horizontal</v>
      </c>
      <c r="S395" s="19">
        <v>0</v>
      </c>
      <c r="T395" s="19">
        <v>0</v>
      </c>
      <c r="U395" s="19">
        <v>0</v>
      </c>
      <c r="V395" s="20">
        <v>0</v>
      </c>
      <c r="W395" s="20">
        <v>-1</v>
      </c>
      <c r="Y395" s="1"/>
      <c r="Z395" s="1">
        <v>60</v>
      </c>
      <c r="AA395" s="1"/>
      <c r="AB395" s="1"/>
      <c r="AC395" s="1"/>
      <c r="AD395" s="1">
        <v>2.44</v>
      </c>
      <c r="AE395" s="22" t="s">
        <v>64</v>
      </c>
      <c r="AF395" s="22"/>
    </row>
    <row r="396" spans="1:32" x14ac:dyDescent="0.2">
      <c r="A396" s="1">
        <v>578</v>
      </c>
      <c r="B396" s="1"/>
      <c r="D396" s="1" t="s">
        <v>9</v>
      </c>
      <c r="E396" s="1" t="s">
        <v>25</v>
      </c>
      <c r="F396" s="1">
        <v>0.5</v>
      </c>
      <c r="G396" s="1">
        <v>0</v>
      </c>
      <c r="H396" s="1">
        <v>0.8</v>
      </c>
      <c r="I396" s="1">
        <f t="shared" si="32"/>
        <v>0.5</v>
      </c>
      <c r="J396" s="1"/>
      <c r="K396" s="1"/>
      <c r="L396" s="1"/>
      <c r="M396" s="1"/>
      <c r="N396" s="1"/>
      <c r="O396" s="1">
        <v>21</v>
      </c>
      <c r="P396" s="15">
        <v>0</v>
      </c>
      <c r="Q396" s="1" t="s">
        <v>33</v>
      </c>
      <c r="R396" s="20" t="str">
        <f t="shared" si="31"/>
        <v>horizontal</v>
      </c>
      <c r="S396" s="19">
        <v>0</v>
      </c>
      <c r="T396" s="19">
        <v>0</v>
      </c>
      <c r="U396" s="19">
        <v>0</v>
      </c>
      <c r="V396" s="20">
        <v>0</v>
      </c>
      <c r="W396" s="20">
        <v>-1</v>
      </c>
      <c r="Y396" s="1"/>
      <c r="Z396" s="1">
        <v>80</v>
      </c>
      <c r="AA396" s="1"/>
      <c r="AB396" s="1"/>
      <c r="AC396" s="1"/>
      <c r="AD396" s="1">
        <v>2.35</v>
      </c>
      <c r="AE396" s="22" t="s">
        <v>64</v>
      </c>
      <c r="AF396" s="22"/>
    </row>
    <row r="397" spans="1:32" x14ac:dyDescent="0.2">
      <c r="A397" s="1">
        <v>579</v>
      </c>
      <c r="B397" s="1"/>
      <c r="D397" s="1" t="s">
        <v>9</v>
      </c>
      <c r="E397" s="1" t="s">
        <v>25</v>
      </c>
      <c r="F397" s="1">
        <v>0.5</v>
      </c>
      <c r="G397" s="1">
        <v>0</v>
      </c>
      <c r="H397" s="1">
        <v>0.8</v>
      </c>
      <c r="I397" s="1">
        <f t="shared" si="32"/>
        <v>0.5</v>
      </c>
      <c r="J397" s="1"/>
      <c r="K397" s="1"/>
      <c r="L397" s="1"/>
      <c r="M397" s="1"/>
      <c r="N397" s="1"/>
      <c r="O397" s="1">
        <v>21</v>
      </c>
      <c r="P397" s="15">
        <v>0</v>
      </c>
      <c r="Q397" s="1" t="s">
        <v>33</v>
      </c>
      <c r="R397" s="20" t="str">
        <f t="shared" si="31"/>
        <v>horizontal</v>
      </c>
      <c r="S397" s="19">
        <v>0</v>
      </c>
      <c r="T397" s="19">
        <v>0</v>
      </c>
      <c r="U397" s="19">
        <v>0</v>
      </c>
      <c r="V397" s="20">
        <v>0</v>
      </c>
      <c r="W397" s="20">
        <v>-1</v>
      </c>
      <c r="Y397" s="1"/>
      <c r="Z397" s="1">
        <v>100</v>
      </c>
      <c r="AA397" s="1"/>
      <c r="AB397" s="1"/>
      <c r="AC397" s="1"/>
      <c r="AD397" s="1">
        <v>2.29</v>
      </c>
      <c r="AE397" s="22" t="s">
        <v>64</v>
      </c>
      <c r="AF397" s="22"/>
    </row>
    <row r="398" spans="1:32" x14ac:dyDescent="0.2">
      <c r="A398" s="1">
        <v>580</v>
      </c>
      <c r="B398" s="1"/>
      <c r="D398" s="1" t="s">
        <v>63</v>
      </c>
      <c r="E398" s="1" t="s">
        <v>25</v>
      </c>
      <c r="F398" s="1">
        <v>0.5</v>
      </c>
      <c r="G398" s="1">
        <v>0</v>
      </c>
      <c r="H398" s="1">
        <v>0.8</v>
      </c>
      <c r="I398" s="1">
        <f t="shared" si="32"/>
        <v>0.5</v>
      </c>
      <c r="J398" s="1"/>
      <c r="K398" s="1"/>
      <c r="L398" s="1"/>
      <c r="M398" s="1"/>
      <c r="N398" s="1"/>
      <c r="O398" s="1">
        <v>21</v>
      </c>
      <c r="P398" s="15">
        <v>0</v>
      </c>
      <c r="Q398" s="1" t="s">
        <v>33</v>
      </c>
      <c r="R398" s="20" t="str">
        <f t="shared" si="31"/>
        <v>horizontal</v>
      </c>
      <c r="S398" s="19">
        <v>0</v>
      </c>
      <c r="T398" s="19">
        <v>0</v>
      </c>
      <c r="U398" s="19">
        <v>0</v>
      </c>
      <c r="V398" s="20">
        <v>0</v>
      </c>
      <c r="W398" s="20">
        <v>-1</v>
      </c>
      <c r="Y398" s="1"/>
      <c r="Z398" s="1">
        <v>25</v>
      </c>
      <c r="AA398" s="1"/>
      <c r="AB398" s="1"/>
      <c r="AC398" s="1"/>
      <c r="AD398" s="1">
        <v>2.77</v>
      </c>
      <c r="AE398" s="22" t="s">
        <v>64</v>
      </c>
      <c r="AF398" s="22"/>
    </row>
    <row r="399" spans="1:32" x14ac:dyDescent="0.2">
      <c r="A399" s="1">
        <v>581</v>
      </c>
      <c r="B399" s="1"/>
      <c r="D399" s="1" t="s">
        <v>63</v>
      </c>
      <c r="E399" s="1" t="s">
        <v>25</v>
      </c>
      <c r="F399" s="1">
        <v>0.5</v>
      </c>
      <c r="G399" s="1">
        <v>0</v>
      </c>
      <c r="H399" s="1">
        <v>0.8</v>
      </c>
      <c r="I399" s="1">
        <f t="shared" si="32"/>
        <v>0.5</v>
      </c>
      <c r="J399" s="1"/>
      <c r="K399" s="1"/>
      <c r="L399" s="1"/>
      <c r="M399" s="1"/>
      <c r="N399" s="1"/>
      <c r="O399" s="1">
        <v>21</v>
      </c>
      <c r="P399" s="15">
        <v>0</v>
      </c>
      <c r="Q399" s="1" t="s">
        <v>33</v>
      </c>
      <c r="R399" s="20" t="str">
        <f t="shared" si="31"/>
        <v>horizontal</v>
      </c>
      <c r="S399" s="19">
        <v>0</v>
      </c>
      <c r="T399" s="19">
        <v>0</v>
      </c>
      <c r="U399" s="19">
        <v>0</v>
      </c>
      <c r="V399" s="20">
        <v>0</v>
      </c>
      <c r="W399" s="20">
        <v>-1</v>
      </c>
      <c r="Y399" s="1"/>
      <c r="Z399" s="1">
        <v>30</v>
      </c>
      <c r="AA399" s="1"/>
      <c r="AB399" s="1"/>
      <c r="AC399" s="1"/>
      <c r="AD399" s="1">
        <v>2.91</v>
      </c>
      <c r="AE399" s="22" t="s">
        <v>64</v>
      </c>
      <c r="AF399" s="22"/>
    </row>
    <row r="400" spans="1:32" x14ac:dyDescent="0.2">
      <c r="A400" s="1">
        <v>582</v>
      </c>
      <c r="B400" s="1"/>
      <c r="D400" s="1" t="s">
        <v>63</v>
      </c>
      <c r="E400" s="1" t="s">
        <v>25</v>
      </c>
      <c r="F400" s="1">
        <v>0.5</v>
      </c>
      <c r="G400" s="1">
        <v>0</v>
      </c>
      <c r="H400" s="1">
        <v>0.8</v>
      </c>
      <c r="I400" s="1">
        <f t="shared" si="32"/>
        <v>0.5</v>
      </c>
      <c r="J400" s="1"/>
      <c r="K400" s="1"/>
      <c r="L400" s="1"/>
      <c r="M400" s="1"/>
      <c r="N400" s="1"/>
      <c r="O400" s="1">
        <v>21</v>
      </c>
      <c r="P400" s="15">
        <v>0</v>
      </c>
      <c r="Q400" s="1" t="s">
        <v>33</v>
      </c>
      <c r="R400" s="20" t="str">
        <f t="shared" si="31"/>
        <v>horizontal</v>
      </c>
      <c r="S400" s="19">
        <v>0</v>
      </c>
      <c r="T400" s="19">
        <v>0</v>
      </c>
      <c r="U400" s="19">
        <v>0</v>
      </c>
      <c r="V400" s="20">
        <v>0</v>
      </c>
      <c r="W400" s="20">
        <v>-1</v>
      </c>
      <c r="Y400" s="1"/>
      <c r="Z400" s="1">
        <v>40</v>
      </c>
      <c r="AA400" s="1"/>
      <c r="AB400" s="1"/>
      <c r="AC400" s="1"/>
      <c r="AD400" s="1">
        <v>2.67</v>
      </c>
      <c r="AE400" s="22" t="s">
        <v>64</v>
      </c>
      <c r="AF400" s="22"/>
    </row>
    <row r="401" spans="1:32" x14ac:dyDescent="0.2">
      <c r="A401" s="1">
        <v>583</v>
      </c>
      <c r="B401" s="1"/>
      <c r="D401" s="1" t="s">
        <v>63</v>
      </c>
      <c r="E401" s="1" t="s">
        <v>25</v>
      </c>
      <c r="F401" s="1">
        <v>0.5</v>
      </c>
      <c r="G401" s="1">
        <v>0</v>
      </c>
      <c r="H401" s="1">
        <v>0.8</v>
      </c>
      <c r="I401" s="1">
        <f t="shared" si="32"/>
        <v>0.5</v>
      </c>
      <c r="J401" s="1"/>
      <c r="K401" s="1"/>
      <c r="L401" s="1"/>
      <c r="M401" s="1"/>
      <c r="N401" s="1"/>
      <c r="O401" s="1">
        <v>21</v>
      </c>
      <c r="P401" s="15">
        <v>0</v>
      </c>
      <c r="Q401" s="1" t="s">
        <v>33</v>
      </c>
      <c r="R401" s="20" t="str">
        <f t="shared" si="31"/>
        <v>horizontal</v>
      </c>
      <c r="S401" s="19">
        <v>0</v>
      </c>
      <c r="T401" s="19">
        <v>0</v>
      </c>
      <c r="U401" s="19">
        <v>0</v>
      </c>
      <c r="V401" s="20">
        <v>0</v>
      </c>
      <c r="W401" s="20">
        <v>-1</v>
      </c>
      <c r="Y401" s="1"/>
      <c r="Z401" s="1">
        <v>50</v>
      </c>
      <c r="AA401" s="1"/>
      <c r="AB401" s="1"/>
      <c r="AC401" s="1"/>
      <c r="AD401" s="1">
        <v>2.79</v>
      </c>
      <c r="AE401" s="22" t="s">
        <v>64</v>
      </c>
      <c r="AF401" s="22"/>
    </row>
    <row r="402" spans="1:32" x14ac:dyDescent="0.2">
      <c r="A402" s="1">
        <v>584</v>
      </c>
      <c r="B402" s="1"/>
      <c r="D402" s="1" t="s">
        <v>63</v>
      </c>
      <c r="E402" s="1" t="s">
        <v>25</v>
      </c>
      <c r="F402" s="1">
        <v>0.5</v>
      </c>
      <c r="G402" s="1">
        <v>0</v>
      </c>
      <c r="H402" s="1">
        <v>0.8</v>
      </c>
      <c r="I402" s="1">
        <f t="shared" si="32"/>
        <v>0.5</v>
      </c>
      <c r="J402" s="1"/>
      <c r="K402" s="1"/>
      <c r="L402" s="1"/>
      <c r="M402" s="1"/>
      <c r="N402" s="1"/>
      <c r="O402" s="1">
        <v>21</v>
      </c>
      <c r="P402" s="15">
        <v>0</v>
      </c>
      <c r="Q402" s="1" t="s">
        <v>33</v>
      </c>
      <c r="R402" s="20" t="str">
        <f t="shared" si="31"/>
        <v>horizontal</v>
      </c>
      <c r="S402" s="19">
        <v>0</v>
      </c>
      <c r="T402" s="19">
        <v>0</v>
      </c>
      <c r="U402" s="19">
        <v>0</v>
      </c>
      <c r="V402" s="20">
        <v>0</v>
      </c>
      <c r="W402" s="20">
        <v>-1</v>
      </c>
      <c r="Y402" s="1"/>
      <c r="Z402" s="1">
        <v>60</v>
      </c>
      <c r="AA402" s="1"/>
      <c r="AB402" s="1"/>
      <c r="AC402" s="1"/>
      <c r="AD402" s="1">
        <v>2.67</v>
      </c>
      <c r="AE402" s="22" t="s">
        <v>64</v>
      </c>
      <c r="AF402" s="22"/>
    </row>
    <row r="403" spans="1:32" x14ac:dyDescent="0.2">
      <c r="A403" s="1">
        <v>585</v>
      </c>
      <c r="B403" s="1"/>
      <c r="D403" s="1" t="s">
        <v>63</v>
      </c>
      <c r="E403" s="1" t="s">
        <v>25</v>
      </c>
      <c r="F403" s="1">
        <v>0.5</v>
      </c>
      <c r="G403" s="1">
        <v>0</v>
      </c>
      <c r="H403" s="1">
        <v>0.8</v>
      </c>
      <c r="I403" s="1">
        <f t="shared" si="32"/>
        <v>0.5</v>
      </c>
      <c r="J403" s="1"/>
      <c r="K403" s="1"/>
      <c r="L403" s="1"/>
      <c r="M403" s="1"/>
      <c r="N403" s="1"/>
      <c r="O403" s="1">
        <v>21</v>
      </c>
      <c r="P403" s="15">
        <v>0</v>
      </c>
      <c r="Q403" s="1" t="s">
        <v>33</v>
      </c>
      <c r="R403" s="20" t="str">
        <f t="shared" si="31"/>
        <v>horizontal</v>
      </c>
      <c r="S403" s="19">
        <v>0</v>
      </c>
      <c r="T403" s="19">
        <v>0</v>
      </c>
      <c r="U403" s="19">
        <v>0</v>
      </c>
      <c r="V403" s="20">
        <v>0</v>
      </c>
      <c r="W403" s="20">
        <v>-1</v>
      </c>
      <c r="Y403" s="1"/>
      <c r="Z403" s="1">
        <v>70</v>
      </c>
      <c r="AA403" s="1"/>
      <c r="AB403" s="1"/>
      <c r="AC403" s="1"/>
      <c r="AD403" s="1">
        <v>2.72</v>
      </c>
      <c r="AE403" s="22" t="s">
        <v>64</v>
      </c>
      <c r="AF403" s="22"/>
    </row>
    <row r="404" spans="1:32" x14ac:dyDescent="0.2">
      <c r="A404" s="1">
        <v>586</v>
      </c>
      <c r="B404" s="1"/>
      <c r="D404" s="1" t="s">
        <v>63</v>
      </c>
      <c r="E404" s="1" t="s">
        <v>25</v>
      </c>
      <c r="F404" s="1">
        <v>0.5</v>
      </c>
      <c r="G404" s="1">
        <v>0</v>
      </c>
      <c r="H404" s="1">
        <v>0.8</v>
      </c>
      <c r="I404" s="1">
        <f t="shared" si="32"/>
        <v>0.5</v>
      </c>
      <c r="J404" s="1"/>
      <c r="K404" s="1"/>
      <c r="L404" s="1"/>
      <c r="M404" s="1"/>
      <c r="N404" s="1"/>
      <c r="O404" s="1">
        <v>21</v>
      </c>
      <c r="P404" s="15">
        <v>0</v>
      </c>
      <c r="Q404" s="1" t="s">
        <v>33</v>
      </c>
      <c r="R404" s="20" t="str">
        <f t="shared" si="31"/>
        <v>horizontal</v>
      </c>
      <c r="S404" s="19">
        <v>0</v>
      </c>
      <c r="T404" s="19">
        <v>0</v>
      </c>
      <c r="U404" s="19">
        <v>0</v>
      </c>
      <c r="V404" s="20">
        <v>0</v>
      </c>
      <c r="W404" s="20">
        <v>-1</v>
      </c>
      <c r="Y404" s="1"/>
      <c r="Z404" s="1">
        <v>80</v>
      </c>
      <c r="AA404" s="1"/>
      <c r="AB404" s="1"/>
      <c r="AC404" s="1"/>
      <c r="AD404" s="1">
        <v>2.65</v>
      </c>
      <c r="AE404" s="22" t="s">
        <v>64</v>
      </c>
      <c r="AF404" s="22"/>
    </row>
    <row r="405" spans="1:32" x14ac:dyDescent="0.2">
      <c r="A405" s="1">
        <v>587</v>
      </c>
      <c r="B405" s="1"/>
      <c r="D405" s="1" t="s">
        <v>63</v>
      </c>
      <c r="E405" s="1" t="s">
        <v>25</v>
      </c>
      <c r="F405" s="1">
        <v>0.5</v>
      </c>
      <c r="G405" s="1">
        <v>0</v>
      </c>
      <c r="H405" s="1">
        <v>0.8</v>
      </c>
      <c r="I405" s="1">
        <f t="shared" si="32"/>
        <v>0.5</v>
      </c>
      <c r="J405" s="1"/>
      <c r="K405" s="1"/>
      <c r="L405" s="1"/>
      <c r="M405" s="1"/>
      <c r="N405" s="1"/>
      <c r="O405" s="1">
        <v>21</v>
      </c>
      <c r="P405" s="15">
        <v>0</v>
      </c>
      <c r="Q405" s="1" t="s">
        <v>33</v>
      </c>
      <c r="R405" s="20" t="str">
        <f t="shared" si="31"/>
        <v>horizontal</v>
      </c>
      <c r="S405" s="19">
        <v>0</v>
      </c>
      <c r="T405" s="19">
        <v>0</v>
      </c>
      <c r="U405" s="19">
        <v>0</v>
      </c>
      <c r="V405" s="20">
        <v>0</v>
      </c>
      <c r="W405" s="20">
        <v>-1</v>
      </c>
      <c r="Y405" s="1"/>
      <c r="Z405" s="1">
        <v>90</v>
      </c>
      <c r="AA405" s="1"/>
      <c r="AB405" s="1"/>
      <c r="AC405" s="1"/>
      <c r="AD405" s="1">
        <v>2.73</v>
      </c>
      <c r="AE405" s="22" t="s">
        <v>64</v>
      </c>
      <c r="AF405" s="22"/>
    </row>
    <row r="406" spans="1:32" s="5" customFormat="1" ht="16" thickBot="1" x14ac:dyDescent="0.25">
      <c r="A406" s="1">
        <v>588</v>
      </c>
      <c r="D406" s="5" t="s">
        <v>63</v>
      </c>
      <c r="E406" s="5" t="s">
        <v>25</v>
      </c>
      <c r="F406" s="5">
        <v>0.5</v>
      </c>
      <c r="G406" s="5">
        <v>0</v>
      </c>
      <c r="H406" s="5">
        <v>0.8</v>
      </c>
      <c r="I406" s="5">
        <f t="shared" si="32"/>
        <v>0.5</v>
      </c>
      <c r="O406" s="5">
        <v>21</v>
      </c>
      <c r="P406" s="25">
        <v>0</v>
      </c>
      <c r="Q406" s="5" t="s">
        <v>33</v>
      </c>
      <c r="R406" s="20" t="str">
        <f t="shared" si="31"/>
        <v>horizontal</v>
      </c>
      <c r="S406" s="30">
        <v>0</v>
      </c>
      <c r="T406" s="30">
        <v>0</v>
      </c>
      <c r="U406" s="30">
        <v>0</v>
      </c>
      <c r="V406" s="31">
        <v>0</v>
      </c>
      <c r="W406" s="31">
        <v>-1</v>
      </c>
      <c r="Z406" s="5">
        <v>100</v>
      </c>
      <c r="AD406" s="5">
        <v>2.69</v>
      </c>
      <c r="AE406" s="33" t="s">
        <v>64</v>
      </c>
      <c r="AF406" s="22"/>
    </row>
    <row r="407" spans="1:32" s="3" customFormat="1" x14ac:dyDescent="0.2">
      <c r="A407" s="1">
        <v>589</v>
      </c>
      <c r="D407" s="3" t="s">
        <v>9</v>
      </c>
      <c r="E407" s="3" t="s">
        <v>25</v>
      </c>
      <c r="F407" s="3">
        <v>0.5</v>
      </c>
      <c r="G407" s="3">
        <v>0</v>
      </c>
      <c r="H407" s="3">
        <v>0.8</v>
      </c>
      <c r="I407" s="3">
        <f t="shared" si="32"/>
        <v>0.5</v>
      </c>
      <c r="O407" s="3">
        <v>21</v>
      </c>
      <c r="P407" s="34">
        <v>0</v>
      </c>
      <c r="Q407" s="3" t="s">
        <v>33</v>
      </c>
      <c r="R407" s="20" t="str">
        <f t="shared" si="31"/>
        <v>horizontal</v>
      </c>
      <c r="S407" s="35">
        <v>0</v>
      </c>
      <c r="T407" s="35">
        <v>0</v>
      </c>
      <c r="U407" s="35">
        <v>0</v>
      </c>
      <c r="V407" s="36">
        <v>0</v>
      </c>
      <c r="W407" s="36">
        <v>-1</v>
      </c>
      <c r="Z407" s="3">
        <v>100</v>
      </c>
      <c r="AD407" s="3">
        <v>2.2599999999999998</v>
      </c>
      <c r="AE407" s="37" t="s">
        <v>68</v>
      </c>
      <c r="AF407" s="22"/>
    </row>
    <row r="408" spans="1:32" x14ac:dyDescent="0.2">
      <c r="A408" s="1">
        <v>590</v>
      </c>
      <c r="B408" s="1"/>
      <c r="D408" s="1" t="s">
        <v>9</v>
      </c>
      <c r="E408" s="1" t="s">
        <v>25</v>
      </c>
      <c r="F408" s="1">
        <v>0.5</v>
      </c>
      <c r="G408" s="1">
        <v>0</v>
      </c>
      <c r="H408" s="1">
        <v>0.8</v>
      </c>
      <c r="I408" s="1">
        <f t="shared" si="32"/>
        <v>0.5</v>
      </c>
      <c r="J408" s="1"/>
      <c r="K408" s="1"/>
      <c r="L408" s="1"/>
      <c r="M408" s="1"/>
      <c r="N408" s="1"/>
      <c r="O408" s="1">
        <v>21</v>
      </c>
      <c r="P408" s="15">
        <v>7.2099999999999997E-2</v>
      </c>
      <c r="Q408" s="1" t="s">
        <v>1</v>
      </c>
      <c r="R408" s="20" t="str">
        <f t="shared" si="31"/>
        <v>horizontal</v>
      </c>
      <c r="S408" s="19">
        <v>-7.2099999999999997E-2</v>
      </c>
      <c r="T408" s="19">
        <v>0</v>
      </c>
      <c r="U408" s="19">
        <v>0</v>
      </c>
      <c r="V408" s="20">
        <v>0</v>
      </c>
      <c r="W408" s="20">
        <v>-1</v>
      </c>
      <c r="Y408" s="1"/>
      <c r="Z408" s="1">
        <v>100</v>
      </c>
      <c r="AA408" s="1"/>
      <c r="AB408" s="1"/>
      <c r="AC408" s="1"/>
      <c r="AD408" s="1">
        <v>1.95</v>
      </c>
      <c r="AE408" s="22" t="s">
        <v>68</v>
      </c>
      <c r="AF408" s="22"/>
    </row>
    <row r="409" spans="1:32" x14ac:dyDescent="0.2">
      <c r="A409" s="1">
        <v>591</v>
      </c>
      <c r="B409" s="1"/>
      <c r="D409" s="1" t="s">
        <v>9</v>
      </c>
      <c r="E409" s="1" t="s">
        <v>25</v>
      </c>
      <c r="F409" s="1">
        <v>0.5</v>
      </c>
      <c r="G409" s="1">
        <v>0</v>
      </c>
      <c r="H409" s="1">
        <v>0.8</v>
      </c>
      <c r="I409" s="1">
        <f t="shared" si="32"/>
        <v>0.5</v>
      </c>
      <c r="J409" s="1"/>
      <c r="K409" s="1"/>
      <c r="L409" s="1"/>
      <c r="M409" s="1"/>
      <c r="N409" s="1"/>
      <c r="O409" s="1">
        <v>21</v>
      </c>
      <c r="P409" s="15">
        <v>0.106</v>
      </c>
      <c r="Q409" s="1" t="s">
        <v>1</v>
      </c>
      <c r="R409" s="20" t="str">
        <f t="shared" si="31"/>
        <v>horizontal</v>
      </c>
      <c r="S409" s="19">
        <v>-0.106</v>
      </c>
      <c r="T409" s="19">
        <v>0</v>
      </c>
      <c r="U409" s="19">
        <v>0</v>
      </c>
      <c r="V409" s="20">
        <v>0</v>
      </c>
      <c r="W409" s="20">
        <v>-1</v>
      </c>
      <c r="Y409" s="1"/>
      <c r="Z409" s="1">
        <v>100</v>
      </c>
      <c r="AA409" s="1"/>
      <c r="AB409" s="1"/>
      <c r="AC409" s="1"/>
      <c r="AD409" s="1">
        <v>1.89</v>
      </c>
      <c r="AE409" s="22" t="s">
        <v>68</v>
      </c>
      <c r="AF409" s="22"/>
    </row>
    <row r="410" spans="1:32" x14ac:dyDescent="0.2">
      <c r="A410" s="1">
        <v>592</v>
      </c>
      <c r="B410" s="1"/>
      <c r="D410" s="1" t="s">
        <v>9</v>
      </c>
      <c r="E410" s="1" t="s">
        <v>25</v>
      </c>
      <c r="F410" s="1">
        <v>0.5</v>
      </c>
      <c r="G410" s="1">
        <v>0</v>
      </c>
      <c r="H410" s="1">
        <v>0.8</v>
      </c>
      <c r="I410" s="1">
        <f t="shared" si="32"/>
        <v>0.5</v>
      </c>
      <c r="J410" s="1"/>
      <c r="K410" s="1"/>
      <c r="L410" s="1"/>
      <c r="M410" s="1"/>
      <c r="N410" s="1"/>
      <c r="O410" s="1">
        <v>21</v>
      </c>
      <c r="P410" s="15">
        <v>0.14400000000000002</v>
      </c>
      <c r="Q410" s="1" t="s">
        <v>1</v>
      </c>
      <c r="R410" s="20" t="str">
        <f t="shared" si="31"/>
        <v>horizontal</v>
      </c>
      <c r="S410" s="19">
        <v>-0.14400000000000002</v>
      </c>
      <c r="T410" s="19">
        <v>0</v>
      </c>
      <c r="U410" s="19">
        <v>0</v>
      </c>
      <c r="V410" s="20">
        <v>0</v>
      </c>
      <c r="W410" s="20">
        <v>-1</v>
      </c>
      <c r="Y410" s="1"/>
      <c r="Z410" s="1">
        <v>100</v>
      </c>
      <c r="AA410" s="1"/>
      <c r="AB410" s="1"/>
      <c r="AC410" s="1"/>
      <c r="AD410" s="1">
        <v>1.86</v>
      </c>
      <c r="AE410" s="22" t="s">
        <v>68</v>
      </c>
      <c r="AF410" s="22"/>
    </row>
    <row r="411" spans="1:32" x14ac:dyDescent="0.2">
      <c r="A411" s="1">
        <v>593</v>
      </c>
      <c r="B411" s="1"/>
      <c r="D411" s="1" t="s">
        <v>9</v>
      </c>
      <c r="E411" s="1" t="s">
        <v>25</v>
      </c>
      <c r="F411" s="1">
        <v>0.5</v>
      </c>
      <c r="G411" s="1">
        <v>0</v>
      </c>
      <c r="H411" s="1">
        <v>0.8</v>
      </c>
      <c r="I411" s="1">
        <f t="shared" si="32"/>
        <v>0.5</v>
      </c>
      <c r="J411" s="1"/>
      <c r="K411" s="1"/>
      <c r="L411" s="1"/>
      <c r="M411" s="1"/>
      <c r="N411" s="1"/>
      <c r="O411" s="1">
        <v>21</v>
      </c>
      <c r="P411" s="15">
        <v>0.29199999999999998</v>
      </c>
      <c r="Q411" s="1" t="s">
        <v>1</v>
      </c>
      <c r="R411" s="20" t="str">
        <f t="shared" si="31"/>
        <v>horizontal</v>
      </c>
      <c r="S411" s="19">
        <v>-0.29199999999999998</v>
      </c>
      <c r="T411" s="19">
        <v>0</v>
      </c>
      <c r="U411" s="19">
        <v>0</v>
      </c>
      <c r="V411" s="20">
        <v>0</v>
      </c>
      <c r="W411" s="20">
        <v>-1</v>
      </c>
      <c r="Y411" s="1"/>
      <c r="Z411" s="1">
        <v>100</v>
      </c>
      <c r="AA411" s="1"/>
      <c r="AB411" s="1"/>
      <c r="AC411" s="1"/>
      <c r="AD411" s="1">
        <v>1.67</v>
      </c>
      <c r="AE411" s="22" t="s">
        <v>68</v>
      </c>
      <c r="AF411" s="22"/>
    </row>
    <row r="412" spans="1:32" x14ac:dyDescent="0.2">
      <c r="A412" s="1">
        <v>594</v>
      </c>
      <c r="B412" s="1"/>
      <c r="D412" s="1" t="s">
        <v>9</v>
      </c>
      <c r="E412" s="1" t="s">
        <v>25</v>
      </c>
      <c r="F412" s="1">
        <v>0.5</v>
      </c>
      <c r="G412" s="1">
        <v>0</v>
      </c>
      <c r="H412" s="1">
        <v>0.8</v>
      </c>
      <c r="I412" s="1">
        <f t="shared" si="32"/>
        <v>0.5</v>
      </c>
      <c r="J412" s="1"/>
      <c r="K412" s="1"/>
      <c r="L412" s="1"/>
      <c r="M412" s="1"/>
      <c r="N412" s="1"/>
      <c r="O412" s="1">
        <v>21</v>
      </c>
      <c r="P412" s="15">
        <v>0.39600000000000002</v>
      </c>
      <c r="Q412" s="1" t="s">
        <v>1</v>
      </c>
      <c r="R412" s="20" t="str">
        <f t="shared" si="31"/>
        <v>horizontal</v>
      </c>
      <c r="S412" s="19">
        <v>-0.39600000000000002</v>
      </c>
      <c r="T412" s="19">
        <v>0</v>
      </c>
      <c r="U412" s="19">
        <v>0</v>
      </c>
      <c r="V412" s="20">
        <v>0</v>
      </c>
      <c r="W412" s="20">
        <v>-1</v>
      </c>
      <c r="Y412" s="1"/>
      <c r="Z412" s="1">
        <v>100</v>
      </c>
      <c r="AA412" s="1"/>
      <c r="AB412" s="1"/>
      <c r="AC412" s="1"/>
      <c r="AD412" s="1">
        <v>1.57</v>
      </c>
      <c r="AE412" s="22" t="s">
        <v>68</v>
      </c>
      <c r="AF412" s="22"/>
    </row>
    <row r="413" spans="1:32" x14ac:dyDescent="0.2">
      <c r="A413" s="1">
        <v>595</v>
      </c>
      <c r="B413" s="1"/>
      <c r="D413" s="1" t="s">
        <v>9</v>
      </c>
      <c r="E413" s="1" t="s">
        <v>25</v>
      </c>
      <c r="F413" s="1">
        <v>0.5</v>
      </c>
      <c r="G413" s="1">
        <v>0</v>
      </c>
      <c r="H413" s="1">
        <v>0.8</v>
      </c>
      <c r="I413" s="1">
        <f t="shared" si="32"/>
        <v>0.5</v>
      </c>
      <c r="J413" s="1"/>
      <c r="K413" s="1"/>
      <c r="L413" s="1"/>
      <c r="M413" s="1"/>
      <c r="N413" s="1"/>
      <c r="O413" s="1">
        <v>21</v>
      </c>
      <c r="P413" s="15">
        <v>0</v>
      </c>
      <c r="Q413" s="1" t="s">
        <v>33</v>
      </c>
      <c r="R413" s="20" t="str">
        <f t="shared" si="31"/>
        <v>horizontal</v>
      </c>
      <c r="S413" s="19">
        <v>0</v>
      </c>
      <c r="T413" s="19">
        <v>0</v>
      </c>
      <c r="U413" s="19">
        <v>0</v>
      </c>
      <c r="V413" s="20">
        <v>0</v>
      </c>
      <c r="W413" s="20">
        <v>-1</v>
      </c>
      <c r="Y413" s="1"/>
      <c r="Z413" s="1">
        <v>80</v>
      </c>
      <c r="AA413" s="1"/>
      <c r="AB413" s="1"/>
      <c r="AC413" s="1"/>
      <c r="AD413" s="1">
        <v>2.29</v>
      </c>
      <c r="AE413" s="22" t="s">
        <v>68</v>
      </c>
      <c r="AF413" s="22"/>
    </row>
    <row r="414" spans="1:32" x14ac:dyDescent="0.2">
      <c r="A414" s="1">
        <v>596</v>
      </c>
      <c r="B414" s="1"/>
      <c r="D414" s="1" t="s">
        <v>9</v>
      </c>
      <c r="E414" s="1" t="s">
        <v>25</v>
      </c>
      <c r="F414" s="1">
        <v>0.5</v>
      </c>
      <c r="G414" s="1">
        <v>0</v>
      </c>
      <c r="H414" s="1">
        <v>0.8</v>
      </c>
      <c r="I414" s="1">
        <f t="shared" si="32"/>
        <v>0.5</v>
      </c>
      <c r="J414" s="1"/>
      <c r="K414" s="1"/>
      <c r="L414" s="1"/>
      <c r="M414" s="1"/>
      <c r="N414" s="1"/>
      <c r="O414" s="1">
        <v>21</v>
      </c>
      <c r="P414" s="15">
        <v>6.2600000000000003E-2</v>
      </c>
      <c r="Q414" s="1" t="s">
        <v>1</v>
      </c>
      <c r="R414" s="20" t="str">
        <f t="shared" si="31"/>
        <v>horizontal</v>
      </c>
      <c r="S414" s="19">
        <v>-6.2600000000000003E-2</v>
      </c>
      <c r="T414" s="19">
        <v>0</v>
      </c>
      <c r="U414" s="19">
        <v>0</v>
      </c>
      <c r="V414" s="20">
        <v>0</v>
      </c>
      <c r="W414" s="20">
        <v>-1</v>
      </c>
      <c r="Y414" s="1"/>
      <c r="Z414" s="1">
        <v>80</v>
      </c>
      <c r="AA414" s="1"/>
      <c r="AB414" s="1"/>
      <c r="AC414" s="1"/>
      <c r="AD414" s="1">
        <v>2.04</v>
      </c>
      <c r="AE414" s="22" t="s">
        <v>68</v>
      </c>
      <c r="AF414" s="22"/>
    </row>
    <row r="415" spans="1:32" x14ac:dyDescent="0.2">
      <c r="A415" s="1">
        <v>597</v>
      </c>
      <c r="B415" s="1"/>
      <c r="D415" s="1" t="s">
        <v>9</v>
      </c>
      <c r="E415" s="1" t="s">
        <v>25</v>
      </c>
      <c r="F415" s="1">
        <v>0.5</v>
      </c>
      <c r="G415" s="1">
        <v>0</v>
      </c>
      <c r="H415" s="1">
        <v>0.8</v>
      </c>
      <c r="I415" s="1">
        <f t="shared" si="32"/>
        <v>0.5</v>
      </c>
      <c r="J415" s="1"/>
      <c r="K415" s="1"/>
      <c r="L415" s="1"/>
      <c r="M415" s="1"/>
      <c r="N415" s="1"/>
      <c r="O415" s="1">
        <v>21</v>
      </c>
      <c r="P415" s="15">
        <v>0.10300000000000001</v>
      </c>
      <c r="Q415" s="1" t="s">
        <v>1</v>
      </c>
      <c r="R415" s="20" t="str">
        <f t="shared" si="31"/>
        <v>horizontal</v>
      </c>
      <c r="S415" s="19">
        <v>-0.10300000000000001</v>
      </c>
      <c r="T415" s="19">
        <v>0</v>
      </c>
      <c r="U415" s="19">
        <v>0</v>
      </c>
      <c r="V415" s="20">
        <v>0</v>
      </c>
      <c r="W415" s="20">
        <v>-1</v>
      </c>
      <c r="Y415" s="1"/>
      <c r="Z415" s="1">
        <v>80</v>
      </c>
      <c r="AA415" s="1"/>
      <c r="AB415" s="1"/>
      <c r="AC415" s="1"/>
      <c r="AD415" s="1">
        <v>1.99</v>
      </c>
      <c r="AE415" s="22" t="s">
        <v>68</v>
      </c>
      <c r="AF415" s="22"/>
    </row>
    <row r="416" spans="1:32" x14ac:dyDescent="0.2">
      <c r="A416" s="1">
        <v>598</v>
      </c>
      <c r="B416" s="1"/>
      <c r="D416" s="1" t="s">
        <v>9</v>
      </c>
      <c r="E416" s="1" t="s">
        <v>25</v>
      </c>
      <c r="F416" s="1">
        <v>0.5</v>
      </c>
      <c r="G416" s="1">
        <v>0</v>
      </c>
      <c r="H416" s="1">
        <v>0.8</v>
      </c>
      <c r="I416" s="1">
        <f t="shared" si="32"/>
        <v>0.5</v>
      </c>
      <c r="J416" s="1"/>
      <c r="K416" s="1"/>
      <c r="L416" s="1"/>
      <c r="M416" s="1"/>
      <c r="N416" s="1"/>
      <c r="O416" s="1">
        <v>21</v>
      </c>
      <c r="P416" s="15">
        <v>0.14400000000000002</v>
      </c>
      <c r="Q416" s="1" t="s">
        <v>1</v>
      </c>
      <c r="R416" s="20" t="str">
        <f t="shared" si="31"/>
        <v>horizontal</v>
      </c>
      <c r="S416" s="19">
        <v>-0.14400000000000002</v>
      </c>
      <c r="T416" s="19">
        <v>0</v>
      </c>
      <c r="U416" s="19">
        <v>0</v>
      </c>
      <c r="V416" s="20">
        <v>0</v>
      </c>
      <c r="W416" s="20">
        <v>-1</v>
      </c>
      <c r="Y416" s="1"/>
      <c r="Z416" s="1">
        <v>80</v>
      </c>
      <c r="AA416" s="1"/>
      <c r="AB416" s="1"/>
      <c r="AC416" s="1"/>
      <c r="AD416" s="1">
        <v>1.93</v>
      </c>
      <c r="AE416" s="22" t="s">
        <v>68</v>
      </c>
      <c r="AF416" s="22"/>
    </row>
    <row r="417" spans="1:32" x14ac:dyDescent="0.2">
      <c r="A417" s="1">
        <v>599</v>
      </c>
      <c r="B417" s="1"/>
      <c r="D417" s="1" t="s">
        <v>9</v>
      </c>
      <c r="E417" s="1" t="s">
        <v>25</v>
      </c>
      <c r="F417" s="1">
        <v>0.5</v>
      </c>
      <c r="G417" s="1">
        <v>0</v>
      </c>
      <c r="H417" s="1">
        <v>0.8</v>
      </c>
      <c r="I417" s="1">
        <f t="shared" si="32"/>
        <v>0.5</v>
      </c>
      <c r="J417" s="1"/>
      <c r="K417" s="1"/>
      <c r="L417" s="1"/>
      <c r="M417" s="1"/>
      <c r="N417" s="1"/>
      <c r="O417" s="1">
        <v>21</v>
      </c>
      <c r="P417" s="15">
        <v>0.27800000000000002</v>
      </c>
      <c r="Q417" s="1" t="s">
        <v>1</v>
      </c>
      <c r="R417" s="20" t="str">
        <f t="shared" si="31"/>
        <v>horizontal</v>
      </c>
      <c r="S417" s="19">
        <v>-0.27800000000000002</v>
      </c>
      <c r="T417" s="19">
        <v>0</v>
      </c>
      <c r="U417" s="19">
        <v>0</v>
      </c>
      <c r="V417" s="20">
        <v>0</v>
      </c>
      <c r="W417" s="20">
        <v>-1</v>
      </c>
      <c r="Y417" s="1"/>
      <c r="Z417" s="1">
        <v>80</v>
      </c>
      <c r="AA417" s="1"/>
      <c r="AB417" s="1"/>
      <c r="AC417" s="1"/>
      <c r="AD417" s="1">
        <v>1.8</v>
      </c>
      <c r="AE417" s="22" t="s">
        <v>68</v>
      </c>
      <c r="AF417" s="22"/>
    </row>
    <row r="418" spans="1:32" x14ac:dyDescent="0.2">
      <c r="A418" s="1">
        <v>600</v>
      </c>
      <c r="B418" s="1"/>
      <c r="D418" s="1" t="s">
        <v>9</v>
      </c>
      <c r="E418" s="1" t="s">
        <v>25</v>
      </c>
      <c r="F418" s="1">
        <v>0.5</v>
      </c>
      <c r="G418" s="1">
        <v>0</v>
      </c>
      <c r="H418" s="1">
        <v>0.8</v>
      </c>
      <c r="I418" s="1">
        <f t="shared" si="32"/>
        <v>0.5</v>
      </c>
      <c r="J418" s="1"/>
      <c r="K418" s="1"/>
      <c r="L418" s="1"/>
      <c r="M418" s="1"/>
      <c r="N418" s="1"/>
      <c r="O418" s="1">
        <v>21</v>
      </c>
      <c r="P418" s="15">
        <v>0.36599999999999999</v>
      </c>
      <c r="Q418" s="1" t="s">
        <v>1</v>
      </c>
      <c r="R418" s="20" t="str">
        <f t="shared" si="31"/>
        <v>horizontal</v>
      </c>
      <c r="S418" s="19">
        <v>-0.36599999999999999</v>
      </c>
      <c r="T418" s="19">
        <v>0</v>
      </c>
      <c r="U418" s="19">
        <v>0</v>
      </c>
      <c r="V418" s="20">
        <v>0</v>
      </c>
      <c r="W418" s="20">
        <v>-1</v>
      </c>
      <c r="Y418" s="1"/>
      <c r="Z418" s="1">
        <v>80</v>
      </c>
      <c r="AA418" s="1"/>
      <c r="AB418" s="1"/>
      <c r="AC418" s="1"/>
      <c r="AD418" s="1">
        <v>1.67</v>
      </c>
      <c r="AE418" s="22" t="s">
        <v>68</v>
      </c>
      <c r="AF418" s="22"/>
    </row>
    <row r="419" spans="1:32" x14ac:dyDescent="0.2">
      <c r="A419" s="1">
        <v>601</v>
      </c>
      <c r="B419" s="1"/>
      <c r="D419" s="1" t="s">
        <v>9</v>
      </c>
      <c r="E419" s="1" t="s">
        <v>25</v>
      </c>
      <c r="F419" s="1">
        <v>0.5</v>
      </c>
      <c r="G419" s="1">
        <v>0</v>
      </c>
      <c r="H419" s="1">
        <v>0.8</v>
      </c>
      <c r="I419" s="1">
        <f t="shared" si="32"/>
        <v>0.5</v>
      </c>
      <c r="J419" s="1"/>
      <c r="K419" s="1"/>
      <c r="L419" s="1"/>
      <c r="M419" s="1"/>
      <c r="N419" s="1"/>
      <c r="O419" s="1">
        <v>21</v>
      </c>
      <c r="P419" s="15">
        <v>0</v>
      </c>
      <c r="Q419" s="1" t="s">
        <v>33</v>
      </c>
      <c r="R419" s="20" t="str">
        <f t="shared" si="31"/>
        <v>horizontal</v>
      </c>
      <c r="S419" s="19">
        <v>0</v>
      </c>
      <c r="T419" s="19">
        <v>0</v>
      </c>
      <c r="U419" s="19">
        <v>0</v>
      </c>
      <c r="V419" s="20">
        <v>0</v>
      </c>
      <c r="W419" s="20">
        <v>-1</v>
      </c>
      <c r="Y419" s="1"/>
      <c r="Z419" s="1">
        <v>50</v>
      </c>
      <c r="AA419" s="1"/>
      <c r="AB419" s="1"/>
      <c r="AC419" s="1"/>
      <c r="AD419" s="1">
        <v>2.39</v>
      </c>
      <c r="AE419" s="22" t="s">
        <v>68</v>
      </c>
      <c r="AF419" s="22"/>
    </row>
    <row r="420" spans="1:32" x14ac:dyDescent="0.2">
      <c r="A420" s="1">
        <v>602</v>
      </c>
      <c r="B420" s="1"/>
      <c r="D420" s="1" t="s">
        <v>9</v>
      </c>
      <c r="E420" s="1" t="s">
        <v>25</v>
      </c>
      <c r="F420" s="1">
        <v>0.5</v>
      </c>
      <c r="G420" s="1">
        <v>0</v>
      </c>
      <c r="H420" s="1">
        <v>0.8</v>
      </c>
      <c r="I420" s="1">
        <f t="shared" si="32"/>
        <v>0.5</v>
      </c>
      <c r="J420" s="1"/>
      <c r="K420" s="1"/>
      <c r="L420" s="1"/>
      <c r="M420" s="1"/>
      <c r="N420" s="1"/>
      <c r="O420" s="1">
        <v>21</v>
      </c>
      <c r="P420" s="15">
        <v>5.1799999999999999E-2</v>
      </c>
      <c r="Q420" s="1" t="s">
        <v>1</v>
      </c>
      <c r="R420" s="20" t="str">
        <f t="shared" si="31"/>
        <v>horizontal</v>
      </c>
      <c r="S420" s="19">
        <v>-5.1799999999999999E-2</v>
      </c>
      <c r="T420" s="19">
        <v>0</v>
      </c>
      <c r="U420" s="19">
        <v>0</v>
      </c>
      <c r="V420" s="20">
        <v>0</v>
      </c>
      <c r="W420" s="20">
        <v>-1</v>
      </c>
      <c r="Y420" s="1"/>
      <c r="Z420" s="1">
        <v>50</v>
      </c>
      <c r="AA420" s="1"/>
      <c r="AB420" s="1"/>
      <c r="AC420" s="1"/>
      <c r="AD420" s="1">
        <v>2.0699999999999998</v>
      </c>
      <c r="AE420" s="22" t="s">
        <v>68</v>
      </c>
      <c r="AF420" s="22"/>
    </row>
    <row r="421" spans="1:32" x14ac:dyDescent="0.2">
      <c r="A421" s="1">
        <v>603</v>
      </c>
      <c r="B421" s="1"/>
      <c r="D421" s="1" t="s">
        <v>9</v>
      </c>
      <c r="E421" s="1" t="s">
        <v>25</v>
      </c>
      <c r="F421" s="1">
        <v>0.5</v>
      </c>
      <c r="G421" s="1">
        <v>0</v>
      </c>
      <c r="H421" s="1">
        <v>0.8</v>
      </c>
      <c r="I421" s="1">
        <f t="shared" si="32"/>
        <v>0.5</v>
      </c>
      <c r="J421" s="1"/>
      <c r="K421" s="1"/>
      <c r="L421" s="1"/>
      <c r="M421" s="1"/>
      <c r="N421" s="1"/>
      <c r="O421" s="1">
        <v>21</v>
      </c>
      <c r="P421" s="15">
        <v>9.3399999999999997E-2</v>
      </c>
      <c r="Q421" s="1" t="s">
        <v>1</v>
      </c>
      <c r="R421" s="20" t="str">
        <f t="shared" si="31"/>
        <v>horizontal</v>
      </c>
      <c r="S421" s="19">
        <v>-9.3399999999999997E-2</v>
      </c>
      <c r="T421" s="19">
        <v>0</v>
      </c>
      <c r="U421" s="19">
        <v>0</v>
      </c>
      <c r="V421" s="20">
        <v>0</v>
      </c>
      <c r="W421" s="20">
        <v>-1</v>
      </c>
      <c r="Y421" s="1"/>
      <c r="Z421" s="1">
        <v>50</v>
      </c>
      <c r="AA421" s="1"/>
      <c r="AB421" s="1"/>
      <c r="AC421" s="1"/>
      <c r="AD421" s="1">
        <v>1.96</v>
      </c>
      <c r="AE421" s="22" t="s">
        <v>68</v>
      </c>
      <c r="AF421" s="22"/>
    </row>
    <row r="422" spans="1:32" x14ac:dyDescent="0.2">
      <c r="A422" s="1">
        <v>604</v>
      </c>
      <c r="B422" s="1"/>
      <c r="D422" s="1" t="s">
        <v>9</v>
      </c>
      <c r="E422" s="1" t="s">
        <v>25</v>
      </c>
      <c r="F422" s="1">
        <v>0.5</v>
      </c>
      <c r="G422" s="1">
        <v>0</v>
      </c>
      <c r="H422" s="1">
        <v>0.8</v>
      </c>
      <c r="I422" s="1">
        <f t="shared" si="32"/>
        <v>0.5</v>
      </c>
      <c r="J422" s="1"/>
      <c r="K422" s="1"/>
      <c r="L422" s="1"/>
      <c r="M422" s="1"/>
      <c r="N422" s="1"/>
      <c r="O422" s="1">
        <v>21</v>
      </c>
      <c r="P422" s="15">
        <v>0.129</v>
      </c>
      <c r="Q422" s="1" t="s">
        <v>1</v>
      </c>
      <c r="R422" s="20" t="str">
        <f t="shared" si="31"/>
        <v>horizontal</v>
      </c>
      <c r="S422" s="19">
        <v>-0.129</v>
      </c>
      <c r="T422" s="19">
        <v>0</v>
      </c>
      <c r="U422" s="19">
        <v>0</v>
      </c>
      <c r="V422" s="20">
        <v>0</v>
      </c>
      <c r="W422" s="20">
        <v>-1</v>
      </c>
      <c r="Y422" s="1"/>
      <c r="Z422" s="1">
        <v>50</v>
      </c>
      <c r="AA422" s="1"/>
      <c r="AB422" s="1"/>
      <c r="AC422" s="1"/>
      <c r="AD422" s="1">
        <v>1.96</v>
      </c>
      <c r="AE422" s="22" t="s">
        <v>68</v>
      </c>
      <c r="AF422" s="22"/>
    </row>
    <row r="423" spans="1:32" x14ac:dyDescent="0.2">
      <c r="A423" s="1">
        <v>605</v>
      </c>
      <c r="B423" s="1"/>
      <c r="D423" s="1" t="s">
        <v>9</v>
      </c>
      <c r="E423" s="1" t="s">
        <v>25</v>
      </c>
      <c r="F423" s="1">
        <v>0.5</v>
      </c>
      <c r="G423" s="1">
        <v>0</v>
      </c>
      <c r="H423" s="1">
        <v>0.8</v>
      </c>
      <c r="I423" s="1">
        <f t="shared" ref="I423:I454" si="33">F423</f>
        <v>0.5</v>
      </c>
      <c r="J423" s="1"/>
      <c r="K423" s="1"/>
      <c r="L423" s="1"/>
      <c r="M423" s="1"/>
      <c r="N423" s="1"/>
      <c r="O423" s="1">
        <v>21</v>
      </c>
      <c r="P423" s="15">
        <v>0.25</v>
      </c>
      <c r="Q423" s="1" t="s">
        <v>1</v>
      </c>
      <c r="R423" s="20" t="str">
        <f t="shared" si="31"/>
        <v>horizontal</v>
      </c>
      <c r="S423" s="19">
        <v>-0.25</v>
      </c>
      <c r="T423" s="19">
        <v>0</v>
      </c>
      <c r="U423" s="19">
        <v>0</v>
      </c>
      <c r="V423" s="20">
        <v>0</v>
      </c>
      <c r="W423" s="20">
        <v>-1</v>
      </c>
      <c r="Y423" s="1"/>
      <c r="Z423" s="1">
        <v>50</v>
      </c>
      <c r="AA423" s="1"/>
      <c r="AB423" s="1"/>
      <c r="AC423" s="1"/>
      <c r="AD423" s="1">
        <v>1.8</v>
      </c>
      <c r="AE423" s="22" t="s">
        <v>68</v>
      </c>
      <c r="AF423" s="22"/>
    </row>
    <row r="424" spans="1:32" x14ac:dyDescent="0.2">
      <c r="A424" s="1">
        <v>606</v>
      </c>
      <c r="B424" s="1"/>
      <c r="D424" s="1" t="s">
        <v>63</v>
      </c>
      <c r="E424" s="1" t="s">
        <v>25</v>
      </c>
      <c r="F424" s="1">
        <v>0.5</v>
      </c>
      <c r="G424" s="1">
        <v>0</v>
      </c>
      <c r="H424" s="1">
        <v>0.8</v>
      </c>
      <c r="I424" s="1">
        <f t="shared" si="33"/>
        <v>0.5</v>
      </c>
      <c r="J424" s="1"/>
      <c r="K424" s="1"/>
      <c r="L424" s="1"/>
      <c r="M424" s="1"/>
      <c r="N424" s="1"/>
      <c r="O424" s="1">
        <v>21</v>
      </c>
      <c r="P424" s="15">
        <v>0</v>
      </c>
      <c r="Q424" s="1" t="s">
        <v>33</v>
      </c>
      <c r="R424" s="20" t="str">
        <f t="shared" si="31"/>
        <v>horizontal</v>
      </c>
      <c r="S424" s="19">
        <v>0</v>
      </c>
      <c r="T424" s="19">
        <v>0</v>
      </c>
      <c r="U424" s="19">
        <v>0</v>
      </c>
      <c r="V424" s="20">
        <v>0</v>
      </c>
      <c r="W424" s="20">
        <v>-1</v>
      </c>
      <c r="Y424" s="1"/>
      <c r="Z424" s="1">
        <v>100</v>
      </c>
      <c r="AA424" s="1"/>
      <c r="AB424" s="1"/>
      <c r="AC424" s="1"/>
      <c r="AD424" s="1">
        <v>2.63</v>
      </c>
      <c r="AE424" s="22" t="s">
        <v>68</v>
      </c>
      <c r="AF424" s="22"/>
    </row>
    <row r="425" spans="1:32" x14ac:dyDescent="0.2">
      <c r="A425" s="1">
        <v>607</v>
      </c>
      <c r="B425" s="1"/>
      <c r="D425" s="1" t="s">
        <v>63</v>
      </c>
      <c r="E425" s="1" t="s">
        <v>25</v>
      </c>
      <c r="F425" s="1">
        <v>0.5</v>
      </c>
      <c r="G425" s="1">
        <v>0</v>
      </c>
      <c r="H425" s="1">
        <v>0.8</v>
      </c>
      <c r="I425" s="1">
        <f t="shared" si="33"/>
        <v>0.5</v>
      </c>
      <c r="J425" s="1"/>
      <c r="K425" s="1"/>
      <c r="L425" s="1"/>
      <c r="M425" s="1"/>
      <c r="N425" s="1"/>
      <c r="O425" s="1">
        <v>21</v>
      </c>
      <c r="P425" s="15">
        <v>7.2800000000000004E-2</v>
      </c>
      <c r="Q425" s="1" t="s">
        <v>1</v>
      </c>
      <c r="R425" s="20" t="str">
        <f t="shared" si="31"/>
        <v>horizontal</v>
      </c>
      <c r="S425" s="19">
        <v>-7.2800000000000004E-2</v>
      </c>
      <c r="T425" s="19">
        <v>0</v>
      </c>
      <c r="U425" s="19">
        <v>0</v>
      </c>
      <c r="V425" s="20">
        <v>0</v>
      </c>
      <c r="W425" s="20">
        <v>-1</v>
      </c>
      <c r="Y425" s="1"/>
      <c r="Z425" s="1">
        <v>100</v>
      </c>
      <c r="AA425" s="1"/>
      <c r="AB425" s="1"/>
      <c r="AC425" s="1"/>
      <c r="AD425" s="1">
        <v>2.0699999999999998</v>
      </c>
      <c r="AE425" s="22" t="s">
        <v>68</v>
      </c>
      <c r="AF425" s="22"/>
    </row>
    <row r="426" spans="1:32" x14ac:dyDescent="0.2">
      <c r="A426" s="1">
        <v>608</v>
      </c>
      <c r="B426" s="1"/>
      <c r="D426" s="1" t="s">
        <v>63</v>
      </c>
      <c r="E426" s="1" t="s">
        <v>25</v>
      </c>
      <c r="F426" s="1">
        <v>0.5</v>
      </c>
      <c r="G426" s="1">
        <v>0</v>
      </c>
      <c r="H426" s="1">
        <v>0.8</v>
      </c>
      <c r="I426" s="1">
        <f t="shared" si="33"/>
        <v>0.5</v>
      </c>
      <c r="J426" s="1"/>
      <c r="K426" s="1"/>
      <c r="L426" s="1"/>
      <c r="M426" s="1"/>
      <c r="N426" s="1"/>
      <c r="O426" s="1">
        <v>21</v>
      </c>
      <c r="P426" s="15">
        <v>0.105</v>
      </c>
      <c r="Q426" s="1" t="s">
        <v>1</v>
      </c>
      <c r="R426" s="20" t="str">
        <f t="shared" si="31"/>
        <v>horizontal</v>
      </c>
      <c r="S426" s="19">
        <v>-0.105</v>
      </c>
      <c r="T426" s="19">
        <v>0</v>
      </c>
      <c r="U426" s="19">
        <v>0</v>
      </c>
      <c r="V426" s="20">
        <v>0</v>
      </c>
      <c r="W426" s="20">
        <v>-1</v>
      </c>
      <c r="Y426" s="1"/>
      <c r="Z426" s="1">
        <v>100</v>
      </c>
      <c r="AA426" s="1"/>
      <c r="AB426" s="1"/>
      <c r="AC426" s="1"/>
      <c r="AD426" s="1">
        <v>1.99</v>
      </c>
      <c r="AE426" s="22" t="s">
        <v>68</v>
      </c>
      <c r="AF426" s="22"/>
    </row>
    <row r="427" spans="1:32" x14ac:dyDescent="0.2">
      <c r="A427" s="1">
        <v>609</v>
      </c>
      <c r="B427" s="1"/>
      <c r="D427" s="1" t="s">
        <v>63</v>
      </c>
      <c r="E427" s="1" t="s">
        <v>25</v>
      </c>
      <c r="F427" s="1">
        <v>0.5</v>
      </c>
      <c r="G427" s="1">
        <v>0</v>
      </c>
      <c r="H427" s="1">
        <v>0.8</v>
      </c>
      <c r="I427" s="1">
        <f t="shared" si="33"/>
        <v>0.5</v>
      </c>
      <c r="J427" s="1"/>
      <c r="K427" s="1"/>
      <c r="L427" s="1"/>
      <c r="M427" s="1"/>
      <c r="N427" s="1"/>
      <c r="O427" s="1">
        <v>21</v>
      </c>
      <c r="P427" s="15">
        <v>0.14499999999999999</v>
      </c>
      <c r="Q427" s="1" t="s">
        <v>1</v>
      </c>
      <c r="R427" s="20" t="str">
        <f t="shared" si="31"/>
        <v>horizontal</v>
      </c>
      <c r="S427" s="19">
        <v>-0.14499999999999999</v>
      </c>
      <c r="T427" s="19">
        <v>0</v>
      </c>
      <c r="U427" s="19">
        <v>0</v>
      </c>
      <c r="V427" s="20">
        <v>0</v>
      </c>
      <c r="W427" s="20">
        <v>-1</v>
      </c>
      <c r="Y427" s="1"/>
      <c r="Z427" s="1">
        <v>100</v>
      </c>
      <c r="AA427" s="1"/>
      <c r="AB427" s="1"/>
      <c r="AC427" s="1"/>
      <c r="AD427" s="1">
        <v>2.02</v>
      </c>
      <c r="AE427" s="22" t="s">
        <v>68</v>
      </c>
      <c r="AF427" s="22"/>
    </row>
    <row r="428" spans="1:32" x14ac:dyDescent="0.2">
      <c r="A428" s="1">
        <v>610</v>
      </c>
      <c r="B428" s="1"/>
      <c r="D428" s="1" t="s">
        <v>63</v>
      </c>
      <c r="E428" s="1" t="s">
        <v>25</v>
      </c>
      <c r="F428" s="1">
        <v>0.5</v>
      </c>
      <c r="G428" s="1">
        <v>0</v>
      </c>
      <c r="H428" s="1">
        <v>0.8</v>
      </c>
      <c r="I428" s="1">
        <f t="shared" si="33"/>
        <v>0.5</v>
      </c>
      <c r="J428" s="1"/>
      <c r="K428" s="1"/>
      <c r="L428" s="1"/>
      <c r="M428" s="1"/>
      <c r="N428" s="1"/>
      <c r="O428" s="1">
        <v>21</v>
      </c>
      <c r="P428" s="15">
        <v>0.29199999999999998</v>
      </c>
      <c r="Q428" s="1" t="s">
        <v>1</v>
      </c>
      <c r="R428" s="20" t="str">
        <f t="shared" si="31"/>
        <v>horizontal</v>
      </c>
      <c r="S428" s="19">
        <v>-0.29199999999999998</v>
      </c>
      <c r="T428" s="19">
        <v>0</v>
      </c>
      <c r="U428" s="19">
        <v>0</v>
      </c>
      <c r="V428" s="20">
        <v>0</v>
      </c>
      <c r="W428" s="20">
        <v>-1</v>
      </c>
      <c r="Y428" s="1"/>
      <c r="Z428" s="1">
        <v>100</v>
      </c>
      <c r="AA428" s="1"/>
      <c r="AB428" s="1"/>
      <c r="AC428" s="1"/>
      <c r="AD428" s="1">
        <v>2.02</v>
      </c>
      <c r="AE428" s="22" t="s">
        <v>68</v>
      </c>
      <c r="AF428" s="22"/>
    </row>
    <row r="429" spans="1:32" x14ac:dyDescent="0.2">
      <c r="A429" s="1">
        <v>611</v>
      </c>
      <c r="B429" s="1"/>
      <c r="D429" s="1" t="s">
        <v>63</v>
      </c>
      <c r="E429" s="1" t="s">
        <v>25</v>
      </c>
      <c r="F429" s="1">
        <v>0.5</v>
      </c>
      <c r="G429" s="1">
        <v>0</v>
      </c>
      <c r="H429" s="1">
        <v>0.8</v>
      </c>
      <c r="I429" s="1">
        <f t="shared" si="33"/>
        <v>0.5</v>
      </c>
      <c r="J429" s="1"/>
      <c r="K429" s="1"/>
      <c r="L429" s="1"/>
      <c r="M429" s="1"/>
      <c r="N429" s="1"/>
      <c r="O429" s="1">
        <v>21</v>
      </c>
      <c r="P429" s="15">
        <v>0.39799999999999996</v>
      </c>
      <c r="Q429" s="1" t="s">
        <v>1</v>
      </c>
      <c r="R429" s="20" t="str">
        <f t="shared" si="31"/>
        <v>horizontal</v>
      </c>
      <c r="S429" s="19">
        <v>-0.39799999999999996</v>
      </c>
      <c r="T429" s="19">
        <v>0</v>
      </c>
      <c r="U429" s="19">
        <v>0</v>
      </c>
      <c r="V429" s="20">
        <v>0</v>
      </c>
      <c r="W429" s="20">
        <v>-1</v>
      </c>
      <c r="Y429" s="1"/>
      <c r="Z429" s="1">
        <v>100</v>
      </c>
      <c r="AA429" s="1"/>
      <c r="AB429" s="1"/>
      <c r="AC429" s="1"/>
      <c r="AD429" s="1">
        <v>1.93</v>
      </c>
      <c r="AE429" s="22" t="s">
        <v>68</v>
      </c>
      <c r="AF429" s="22"/>
    </row>
    <row r="430" spans="1:32" x14ac:dyDescent="0.2">
      <c r="A430" s="1">
        <v>612</v>
      </c>
      <c r="B430" s="1"/>
      <c r="D430" s="1" t="s">
        <v>63</v>
      </c>
      <c r="E430" s="1" t="s">
        <v>25</v>
      </c>
      <c r="F430" s="1">
        <v>0.5</v>
      </c>
      <c r="G430" s="1">
        <v>0</v>
      </c>
      <c r="H430" s="1">
        <v>0.8</v>
      </c>
      <c r="I430" s="1">
        <f t="shared" si="33"/>
        <v>0.5</v>
      </c>
      <c r="J430" s="1"/>
      <c r="K430" s="1"/>
      <c r="L430" s="1"/>
      <c r="M430" s="1"/>
      <c r="N430" s="1"/>
      <c r="O430" s="1">
        <v>21</v>
      </c>
      <c r="P430" s="15">
        <v>0</v>
      </c>
      <c r="Q430" s="1" t="s">
        <v>33</v>
      </c>
      <c r="R430" s="20" t="str">
        <f t="shared" si="31"/>
        <v>horizontal</v>
      </c>
      <c r="S430" s="19">
        <v>0</v>
      </c>
      <c r="T430" s="19">
        <v>0</v>
      </c>
      <c r="U430" s="19">
        <v>0</v>
      </c>
      <c r="V430" s="20">
        <v>0</v>
      </c>
      <c r="W430" s="20">
        <v>-1</v>
      </c>
      <c r="Y430" s="1"/>
      <c r="Z430" s="1">
        <v>80</v>
      </c>
      <c r="AA430" s="1"/>
      <c r="AB430" s="1"/>
      <c r="AC430" s="1"/>
      <c r="AD430" s="1">
        <v>2.73</v>
      </c>
      <c r="AE430" s="22" t="s">
        <v>68</v>
      </c>
      <c r="AF430" s="22"/>
    </row>
    <row r="431" spans="1:32" x14ac:dyDescent="0.2">
      <c r="A431" s="1">
        <v>613</v>
      </c>
      <c r="B431" s="1"/>
      <c r="D431" s="1" t="s">
        <v>63</v>
      </c>
      <c r="E431" s="1" t="s">
        <v>25</v>
      </c>
      <c r="F431" s="1">
        <v>0.5</v>
      </c>
      <c r="G431" s="1">
        <v>0</v>
      </c>
      <c r="H431" s="1">
        <v>0.8</v>
      </c>
      <c r="I431" s="1">
        <f t="shared" si="33"/>
        <v>0.5</v>
      </c>
      <c r="J431" s="1"/>
      <c r="K431" s="1"/>
      <c r="L431" s="1"/>
      <c r="M431" s="1"/>
      <c r="N431" s="1"/>
      <c r="O431" s="1">
        <v>21</v>
      </c>
      <c r="P431" s="15">
        <v>6.3500000000000001E-2</v>
      </c>
      <c r="Q431" s="1" t="s">
        <v>1</v>
      </c>
      <c r="R431" s="20" t="str">
        <f t="shared" si="31"/>
        <v>horizontal</v>
      </c>
      <c r="S431" s="19">
        <v>-6.3500000000000001E-2</v>
      </c>
      <c r="T431" s="19">
        <v>0</v>
      </c>
      <c r="U431" s="19">
        <v>0</v>
      </c>
      <c r="V431" s="20">
        <v>0</v>
      </c>
      <c r="W431" s="20">
        <v>-1</v>
      </c>
      <c r="Y431" s="1"/>
      <c r="Z431" s="1">
        <v>80</v>
      </c>
      <c r="AA431" s="1"/>
      <c r="AB431" s="1"/>
      <c r="AC431" s="1"/>
      <c r="AD431" s="1">
        <v>2.14</v>
      </c>
      <c r="AE431" s="22" t="s">
        <v>68</v>
      </c>
      <c r="AF431" s="22"/>
    </row>
    <row r="432" spans="1:32" x14ac:dyDescent="0.2">
      <c r="A432" s="1">
        <v>614</v>
      </c>
      <c r="B432" s="1"/>
      <c r="D432" s="1" t="s">
        <v>63</v>
      </c>
      <c r="E432" s="1" t="s">
        <v>25</v>
      </c>
      <c r="F432" s="1">
        <v>0.5</v>
      </c>
      <c r="G432" s="1">
        <v>0</v>
      </c>
      <c r="H432" s="1">
        <v>0.8</v>
      </c>
      <c r="I432" s="1">
        <f t="shared" si="33"/>
        <v>0.5</v>
      </c>
      <c r="J432" s="1"/>
      <c r="K432" s="1"/>
      <c r="L432" s="1"/>
      <c r="M432" s="1"/>
      <c r="N432" s="1"/>
      <c r="O432" s="1">
        <v>21</v>
      </c>
      <c r="P432" s="15">
        <v>0.10400000000000001</v>
      </c>
      <c r="Q432" s="1" t="s">
        <v>1</v>
      </c>
      <c r="R432" s="20" t="str">
        <f t="shared" si="31"/>
        <v>horizontal</v>
      </c>
      <c r="S432" s="19">
        <v>-0.10400000000000001</v>
      </c>
      <c r="T432" s="19">
        <v>0</v>
      </c>
      <c r="U432" s="19">
        <v>0</v>
      </c>
      <c r="V432" s="20">
        <v>0</v>
      </c>
      <c r="W432" s="20">
        <v>-1</v>
      </c>
      <c r="Y432" s="1"/>
      <c r="Z432" s="1">
        <v>80</v>
      </c>
      <c r="AA432" s="1"/>
      <c r="AB432" s="1"/>
      <c r="AC432" s="1"/>
      <c r="AD432" s="1">
        <v>2.13</v>
      </c>
      <c r="AE432" s="22" t="s">
        <v>68</v>
      </c>
      <c r="AF432" s="22"/>
    </row>
    <row r="433" spans="1:32" x14ac:dyDescent="0.2">
      <c r="A433" s="1">
        <v>615</v>
      </c>
      <c r="B433" s="1"/>
      <c r="D433" s="1" t="s">
        <v>63</v>
      </c>
      <c r="E433" s="1" t="s">
        <v>25</v>
      </c>
      <c r="F433" s="1">
        <v>0.5</v>
      </c>
      <c r="G433" s="1">
        <v>0</v>
      </c>
      <c r="H433" s="1">
        <v>0.8</v>
      </c>
      <c r="I433" s="1">
        <f t="shared" si="33"/>
        <v>0.5</v>
      </c>
      <c r="J433" s="1"/>
      <c r="K433" s="1"/>
      <c r="L433" s="1"/>
      <c r="M433" s="1"/>
      <c r="N433" s="1"/>
      <c r="O433" s="1">
        <v>21</v>
      </c>
      <c r="P433" s="15">
        <v>0.14400000000000002</v>
      </c>
      <c r="Q433" s="1" t="s">
        <v>1</v>
      </c>
      <c r="R433" s="20" t="str">
        <f t="shared" si="31"/>
        <v>horizontal</v>
      </c>
      <c r="S433" s="19">
        <v>-0.14400000000000002</v>
      </c>
      <c r="T433" s="19">
        <v>0</v>
      </c>
      <c r="U433" s="19">
        <v>0</v>
      </c>
      <c r="V433" s="20">
        <v>0</v>
      </c>
      <c r="W433" s="20">
        <v>-1</v>
      </c>
      <c r="Y433" s="1"/>
      <c r="Z433" s="1">
        <v>80</v>
      </c>
      <c r="AA433" s="1"/>
      <c r="AB433" s="1"/>
      <c r="AC433" s="1"/>
      <c r="AD433" s="1">
        <v>2.09</v>
      </c>
      <c r="AE433" s="22" t="s">
        <v>68</v>
      </c>
      <c r="AF433" s="22"/>
    </row>
    <row r="434" spans="1:32" x14ac:dyDescent="0.2">
      <c r="A434" s="1">
        <v>616</v>
      </c>
      <c r="B434" s="1"/>
      <c r="D434" s="1" t="s">
        <v>63</v>
      </c>
      <c r="E434" s="1" t="s">
        <v>25</v>
      </c>
      <c r="F434" s="1">
        <v>0.5</v>
      </c>
      <c r="G434" s="1">
        <v>0</v>
      </c>
      <c r="H434" s="1">
        <v>0.8</v>
      </c>
      <c r="I434" s="1">
        <f t="shared" si="33"/>
        <v>0.5</v>
      </c>
      <c r="J434" s="1"/>
      <c r="K434" s="1"/>
      <c r="L434" s="1"/>
      <c r="M434" s="1"/>
      <c r="N434" s="1"/>
      <c r="O434" s="1">
        <v>21</v>
      </c>
      <c r="P434" s="15">
        <v>0.27899999999999997</v>
      </c>
      <c r="Q434" s="1" t="s">
        <v>1</v>
      </c>
      <c r="R434" s="20" t="str">
        <f t="shared" si="31"/>
        <v>horizontal</v>
      </c>
      <c r="S434" s="19">
        <v>-0.27899999999999997</v>
      </c>
      <c r="T434" s="19">
        <v>0</v>
      </c>
      <c r="U434" s="19">
        <v>0</v>
      </c>
      <c r="V434" s="20">
        <v>0</v>
      </c>
      <c r="W434" s="20">
        <v>-1</v>
      </c>
      <c r="Y434" s="1"/>
      <c r="Z434" s="1">
        <v>80</v>
      </c>
      <c r="AA434" s="1"/>
      <c r="AB434" s="1"/>
      <c r="AC434" s="1"/>
      <c r="AD434" s="1">
        <v>2.09</v>
      </c>
      <c r="AE434" s="22" t="s">
        <v>68</v>
      </c>
      <c r="AF434" s="22"/>
    </row>
    <row r="435" spans="1:32" x14ac:dyDescent="0.2">
      <c r="A435" s="1">
        <v>617</v>
      </c>
      <c r="B435" s="1"/>
      <c r="D435" s="1" t="s">
        <v>63</v>
      </c>
      <c r="E435" s="1" t="s">
        <v>25</v>
      </c>
      <c r="F435" s="1">
        <v>0.5</v>
      </c>
      <c r="G435" s="1">
        <v>0</v>
      </c>
      <c r="H435" s="1">
        <v>0.8</v>
      </c>
      <c r="I435" s="1">
        <f t="shared" si="33"/>
        <v>0.5</v>
      </c>
      <c r="J435" s="1"/>
      <c r="K435" s="1"/>
      <c r="L435" s="1"/>
      <c r="M435" s="1"/>
      <c r="N435" s="1"/>
      <c r="O435" s="1">
        <v>21</v>
      </c>
      <c r="P435" s="15">
        <v>0.36700000000000005</v>
      </c>
      <c r="Q435" s="1" t="s">
        <v>1</v>
      </c>
      <c r="R435" s="20" t="str">
        <f t="shared" si="31"/>
        <v>horizontal</v>
      </c>
      <c r="S435" s="19">
        <v>-0.36700000000000005</v>
      </c>
      <c r="T435" s="19">
        <v>0</v>
      </c>
      <c r="U435" s="19">
        <v>0</v>
      </c>
      <c r="V435" s="20">
        <v>0</v>
      </c>
      <c r="W435" s="20">
        <v>-1</v>
      </c>
      <c r="Y435" s="1"/>
      <c r="Z435" s="1">
        <v>80</v>
      </c>
      <c r="AA435" s="1"/>
      <c r="AB435" s="1"/>
      <c r="AC435" s="1"/>
      <c r="AD435" s="1">
        <v>1.98</v>
      </c>
      <c r="AE435" s="22" t="s">
        <v>68</v>
      </c>
      <c r="AF435" s="22"/>
    </row>
    <row r="436" spans="1:32" x14ac:dyDescent="0.2">
      <c r="A436" s="1">
        <v>618</v>
      </c>
      <c r="B436" s="1"/>
      <c r="D436" s="1" t="s">
        <v>63</v>
      </c>
      <c r="E436" s="1" t="s">
        <v>25</v>
      </c>
      <c r="F436" s="1">
        <v>0.5</v>
      </c>
      <c r="G436" s="1">
        <v>0</v>
      </c>
      <c r="H436" s="1">
        <v>0.8</v>
      </c>
      <c r="I436" s="1">
        <f t="shared" si="33"/>
        <v>0.5</v>
      </c>
      <c r="J436" s="1"/>
      <c r="K436" s="1"/>
      <c r="L436" s="1"/>
      <c r="M436" s="1"/>
      <c r="N436" s="1"/>
      <c r="O436" s="1">
        <v>21</v>
      </c>
      <c r="P436" s="15">
        <v>0</v>
      </c>
      <c r="Q436" s="1" t="s">
        <v>33</v>
      </c>
      <c r="R436" s="20" t="str">
        <f t="shared" si="31"/>
        <v>horizontal</v>
      </c>
      <c r="S436" s="19">
        <v>0</v>
      </c>
      <c r="T436" s="19">
        <v>0</v>
      </c>
      <c r="U436" s="19">
        <v>0</v>
      </c>
      <c r="V436" s="20">
        <v>0</v>
      </c>
      <c r="W436" s="20">
        <v>-1</v>
      </c>
      <c r="Y436" s="1"/>
      <c r="Z436" s="1">
        <v>50</v>
      </c>
      <c r="AA436" s="1"/>
      <c r="AB436" s="1"/>
      <c r="AC436" s="1"/>
      <c r="AD436" s="1">
        <v>2.62</v>
      </c>
      <c r="AE436" s="22" t="s">
        <v>68</v>
      </c>
      <c r="AF436" s="22"/>
    </row>
    <row r="437" spans="1:32" x14ac:dyDescent="0.2">
      <c r="A437" s="1">
        <v>619</v>
      </c>
      <c r="B437" s="1"/>
      <c r="D437" s="1" t="s">
        <v>63</v>
      </c>
      <c r="E437" s="1" t="s">
        <v>25</v>
      </c>
      <c r="F437" s="1">
        <v>0.5</v>
      </c>
      <c r="G437" s="1">
        <v>0</v>
      </c>
      <c r="H437" s="1">
        <v>0.8</v>
      </c>
      <c r="I437" s="1">
        <f t="shared" si="33"/>
        <v>0.5</v>
      </c>
      <c r="J437" s="1"/>
      <c r="K437" s="1"/>
      <c r="L437" s="1"/>
      <c r="M437" s="1"/>
      <c r="N437" s="1"/>
      <c r="O437" s="1">
        <v>21</v>
      </c>
      <c r="P437" s="15">
        <v>5.28E-2</v>
      </c>
      <c r="Q437" s="1" t="s">
        <v>1</v>
      </c>
      <c r="R437" s="20" t="str">
        <f t="shared" si="31"/>
        <v>horizontal</v>
      </c>
      <c r="S437" s="19">
        <v>-5.28E-2</v>
      </c>
      <c r="T437" s="19">
        <v>0</v>
      </c>
      <c r="U437" s="19">
        <v>0</v>
      </c>
      <c r="V437" s="20">
        <v>0</v>
      </c>
      <c r="W437" s="20">
        <v>-1</v>
      </c>
      <c r="Y437" s="1"/>
      <c r="Z437" s="1">
        <v>50</v>
      </c>
      <c r="AA437" s="1"/>
      <c r="AB437" s="1"/>
      <c r="AC437" s="1"/>
      <c r="AD437" s="1">
        <v>2.29</v>
      </c>
      <c r="AE437" s="22" t="s">
        <v>68</v>
      </c>
      <c r="AF437" s="22"/>
    </row>
    <row r="438" spans="1:32" x14ac:dyDescent="0.2">
      <c r="A438" s="1">
        <v>620</v>
      </c>
      <c r="B438" s="1"/>
      <c r="D438" s="1" t="s">
        <v>63</v>
      </c>
      <c r="E438" s="1" t="s">
        <v>25</v>
      </c>
      <c r="F438" s="1">
        <v>0.5</v>
      </c>
      <c r="G438" s="1">
        <v>0</v>
      </c>
      <c r="H438" s="1">
        <v>0.8</v>
      </c>
      <c r="I438" s="1">
        <f t="shared" si="33"/>
        <v>0.5</v>
      </c>
      <c r="J438" s="1"/>
      <c r="K438" s="1"/>
      <c r="L438" s="1"/>
      <c r="M438" s="1"/>
      <c r="N438" s="1"/>
      <c r="O438" s="1">
        <v>21</v>
      </c>
      <c r="P438" s="15">
        <v>9.4200000000000006E-2</v>
      </c>
      <c r="Q438" s="1" t="s">
        <v>1</v>
      </c>
      <c r="R438" s="20" t="str">
        <f t="shared" si="31"/>
        <v>horizontal</v>
      </c>
      <c r="S438" s="19">
        <v>-9.4200000000000006E-2</v>
      </c>
      <c r="T438" s="19">
        <v>0</v>
      </c>
      <c r="U438" s="19">
        <v>0</v>
      </c>
      <c r="V438" s="20">
        <v>0</v>
      </c>
      <c r="W438" s="20">
        <v>-1</v>
      </c>
      <c r="Y438" s="1"/>
      <c r="Z438" s="1">
        <v>50</v>
      </c>
      <c r="AA438" s="1"/>
      <c r="AB438" s="1"/>
      <c r="AC438" s="1"/>
      <c r="AD438" s="1">
        <v>2.2000000000000002</v>
      </c>
      <c r="AE438" s="22" t="s">
        <v>68</v>
      </c>
      <c r="AF438" s="22"/>
    </row>
    <row r="439" spans="1:32" x14ac:dyDescent="0.2">
      <c r="A439" s="1">
        <v>621</v>
      </c>
      <c r="B439" s="1"/>
      <c r="D439" s="1" t="s">
        <v>63</v>
      </c>
      <c r="E439" s="1" t="s">
        <v>25</v>
      </c>
      <c r="F439" s="1">
        <v>0.5</v>
      </c>
      <c r="G439" s="1">
        <v>0</v>
      </c>
      <c r="H439" s="1">
        <v>0.8</v>
      </c>
      <c r="I439" s="1">
        <f t="shared" si="33"/>
        <v>0.5</v>
      </c>
      <c r="J439" s="1"/>
      <c r="K439" s="1"/>
      <c r="L439" s="1"/>
      <c r="M439" s="1"/>
      <c r="N439" s="1"/>
      <c r="O439" s="1">
        <v>21</v>
      </c>
      <c r="P439" s="15">
        <v>0.13</v>
      </c>
      <c r="Q439" s="1" t="s">
        <v>1</v>
      </c>
      <c r="R439" s="20" t="str">
        <f t="shared" si="31"/>
        <v>horizontal</v>
      </c>
      <c r="S439" s="19">
        <v>-0.13</v>
      </c>
      <c r="T439" s="19">
        <v>0</v>
      </c>
      <c r="U439" s="19">
        <v>0</v>
      </c>
      <c r="V439" s="20">
        <v>0</v>
      </c>
      <c r="W439" s="20">
        <v>-1</v>
      </c>
      <c r="Y439" s="1"/>
      <c r="Z439" s="1">
        <v>50</v>
      </c>
      <c r="AA439" s="1"/>
      <c r="AB439" s="1"/>
      <c r="AC439" s="1"/>
      <c r="AD439" s="1">
        <v>2.14</v>
      </c>
      <c r="AE439" s="22" t="s">
        <v>68</v>
      </c>
      <c r="AF439" s="22"/>
    </row>
    <row r="440" spans="1:32" s="5" customFormat="1" ht="16" thickBot="1" x14ac:dyDescent="0.25">
      <c r="A440" s="1">
        <v>622</v>
      </c>
      <c r="D440" s="5" t="s">
        <v>63</v>
      </c>
      <c r="E440" s="5" t="s">
        <v>25</v>
      </c>
      <c r="F440" s="5">
        <v>0.5</v>
      </c>
      <c r="G440" s="5">
        <v>0</v>
      </c>
      <c r="H440" s="5">
        <v>0.8</v>
      </c>
      <c r="I440" s="5">
        <f t="shared" si="33"/>
        <v>0.5</v>
      </c>
      <c r="O440" s="5">
        <v>21</v>
      </c>
      <c r="P440" s="25">
        <v>0.26100000000000001</v>
      </c>
      <c r="Q440" s="5" t="s">
        <v>1</v>
      </c>
      <c r="R440" s="20" t="str">
        <f t="shared" si="31"/>
        <v>horizontal</v>
      </c>
      <c r="S440" s="30">
        <v>-0.26100000000000001</v>
      </c>
      <c r="T440" s="30">
        <v>0</v>
      </c>
      <c r="U440" s="30">
        <v>0</v>
      </c>
      <c r="V440" s="31">
        <v>0</v>
      </c>
      <c r="W440" s="31">
        <v>-1</v>
      </c>
      <c r="Z440" s="5">
        <v>50</v>
      </c>
      <c r="AD440" s="5">
        <v>2.09</v>
      </c>
      <c r="AE440" s="33" t="s">
        <v>68</v>
      </c>
      <c r="AF440" s="22"/>
    </row>
    <row r="441" spans="1:32" s="3" customFormat="1" x14ac:dyDescent="0.2">
      <c r="A441" s="1">
        <v>623</v>
      </c>
      <c r="D441" s="3" t="s">
        <v>4</v>
      </c>
      <c r="E441" s="3" t="s">
        <v>25</v>
      </c>
      <c r="F441" s="3">
        <v>0.48</v>
      </c>
      <c r="G441" s="3">
        <v>0</v>
      </c>
      <c r="H441" s="3">
        <v>1.48</v>
      </c>
      <c r="I441" s="3">
        <f t="shared" si="33"/>
        <v>0.48</v>
      </c>
      <c r="O441" s="3">
        <v>21</v>
      </c>
      <c r="P441" s="34">
        <v>0</v>
      </c>
      <c r="Q441" s="3" t="s">
        <v>33</v>
      </c>
      <c r="R441" s="20" t="str">
        <f t="shared" si="31"/>
        <v>horizontal</v>
      </c>
      <c r="S441" s="35">
        <v>0</v>
      </c>
      <c r="T441" s="35">
        <v>0</v>
      </c>
      <c r="U441" s="35">
        <v>0</v>
      </c>
      <c r="V441" s="36">
        <v>0</v>
      </c>
      <c r="W441" s="36">
        <v>-1</v>
      </c>
      <c r="Z441" s="3">
        <v>60.3</v>
      </c>
      <c r="AD441" s="3">
        <v>0.154</v>
      </c>
      <c r="AE441" s="37" t="s">
        <v>65</v>
      </c>
      <c r="AF441" s="22"/>
    </row>
    <row r="442" spans="1:32" x14ac:dyDescent="0.2">
      <c r="A442" s="1">
        <v>624</v>
      </c>
      <c r="B442" s="1"/>
      <c r="D442" s="1" t="s">
        <v>4</v>
      </c>
      <c r="E442" s="1" t="s">
        <v>25</v>
      </c>
      <c r="F442" s="1">
        <v>0.48</v>
      </c>
      <c r="G442" s="1">
        <v>0</v>
      </c>
      <c r="H442" s="1">
        <v>1.48</v>
      </c>
      <c r="I442" s="1">
        <f t="shared" si="33"/>
        <v>0.48</v>
      </c>
      <c r="J442" s="1"/>
      <c r="K442" s="1"/>
      <c r="L442" s="1"/>
      <c r="M442" s="1"/>
      <c r="N442" s="1"/>
      <c r="O442" s="1">
        <v>21</v>
      </c>
      <c r="P442" s="15">
        <v>0</v>
      </c>
      <c r="Q442" s="1" t="s">
        <v>33</v>
      </c>
      <c r="R442" s="20" t="str">
        <f t="shared" si="31"/>
        <v>horizontal</v>
      </c>
      <c r="S442" s="19">
        <v>0</v>
      </c>
      <c r="T442" s="19">
        <v>0</v>
      </c>
      <c r="U442" s="19">
        <v>0</v>
      </c>
      <c r="V442" s="20">
        <v>0</v>
      </c>
      <c r="W442" s="20">
        <v>-1</v>
      </c>
      <c r="Y442" s="1"/>
      <c r="Z442" s="1">
        <v>80.099999999999994</v>
      </c>
      <c r="AA442" s="1"/>
      <c r="AB442" s="1"/>
      <c r="AC442" s="1"/>
      <c r="AD442" s="1">
        <v>0.16500000000000001</v>
      </c>
      <c r="AE442" s="22" t="s">
        <v>65</v>
      </c>
      <c r="AF442" s="22"/>
    </row>
    <row r="443" spans="1:32" x14ac:dyDescent="0.2">
      <c r="A443" s="1">
        <v>625</v>
      </c>
      <c r="B443" s="1"/>
      <c r="D443" s="1" t="s">
        <v>4</v>
      </c>
      <c r="E443" s="1" t="s">
        <v>25</v>
      </c>
      <c r="F443" s="1">
        <v>0.48</v>
      </c>
      <c r="G443" s="1">
        <v>0</v>
      </c>
      <c r="H443" s="1">
        <v>1.48</v>
      </c>
      <c r="I443" s="1">
        <f t="shared" si="33"/>
        <v>0.48</v>
      </c>
      <c r="J443" s="1"/>
      <c r="K443" s="1"/>
      <c r="L443" s="1"/>
      <c r="M443" s="1"/>
      <c r="N443" s="1"/>
      <c r="O443" s="1">
        <v>21</v>
      </c>
      <c r="P443" s="15">
        <v>0</v>
      </c>
      <c r="Q443" s="1" t="s">
        <v>33</v>
      </c>
      <c r="R443" s="20" t="str">
        <f t="shared" si="31"/>
        <v>horizontal</v>
      </c>
      <c r="S443" s="19">
        <v>0</v>
      </c>
      <c r="T443" s="19">
        <v>0</v>
      </c>
      <c r="U443" s="19">
        <v>0</v>
      </c>
      <c r="V443" s="20">
        <v>0</v>
      </c>
      <c r="W443" s="20">
        <v>-1</v>
      </c>
      <c r="Y443" s="1"/>
      <c r="Z443" s="1">
        <v>101</v>
      </c>
      <c r="AA443" s="1"/>
      <c r="AB443" s="1"/>
      <c r="AC443" s="1"/>
      <c r="AD443" s="1">
        <v>0.17599999999999999</v>
      </c>
      <c r="AE443" s="22" t="s">
        <v>65</v>
      </c>
      <c r="AF443" s="22"/>
    </row>
    <row r="444" spans="1:32" x14ac:dyDescent="0.2">
      <c r="A444" s="1">
        <v>626</v>
      </c>
      <c r="B444" s="1"/>
      <c r="D444" s="1" t="s">
        <v>4</v>
      </c>
      <c r="E444" s="1" t="s">
        <v>25</v>
      </c>
      <c r="F444" s="1">
        <v>0.48</v>
      </c>
      <c r="G444" s="1">
        <v>0</v>
      </c>
      <c r="H444" s="1">
        <v>1.48</v>
      </c>
      <c r="I444" s="1">
        <f t="shared" si="33"/>
        <v>0.48</v>
      </c>
      <c r="J444" s="1"/>
      <c r="K444" s="1"/>
      <c r="L444" s="1"/>
      <c r="M444" s="1"/>
      <c r="N444" s="1"/>
      <c r="O444" s="1">
        <v>21</v>
      </c>
      <c r="P444" s="15">
        <v>0</v>
      </c>
      <c r="Q444" s="1" t="s">
        <v>33</v>
      </c>
      <c r="R444" s="20" t="str">
        <f t="shared" si="31"/>
        <v>horizontal</v>
      </c>
      <c r="S444" s="19">
        <v>0</v>
      </c>
      <c r="T444" s="19">
        <v>0</v>
      </c>
      <c r="U444" s="19">
        <v>0</v>
      </c>
      <c r="V444" s="20">
        <v>0</v>
      </c>
      <c r="W444" s="20">
        <v>-1</v>
      </c>
      <c r="Y444" s="1"/>
      <c r="Z444" s="1">
        <v>150</v>
      </c>
      <c r="AA444" s="1"/>
      <c r="AB444" s="1"/>
      <c r="AC444" s="1"/>
      <c r="AD444" s="1">
        <v>0.184</v>
      </c>
      <c r="AE444" s="22" t="s">
        <v>65</v>
      </c>
      <c r="AF444" s="22"/>
    </row>
    <row r="445" spans="1:32" x14ac:dyDescent="0.2">
      <c r="A445" s="1">
        <v>627</v>
      </c>
      <c r="B445" s="1"/>
      <c r="D445" s="1" t="s">
        <v>4</v>
      </c>
      <c r="E445" s="1" t="s">
        <v>25</v>
      </c>
      <c r="F445" s="1">
        <v>0.48</v>
      </c>
      <c r="G445" s="1">
        <v>0</v>
      </c>
      <c r="H445" s="1">
        <v>1.48</v>
      </c>
      <c r="I445" s="1">
        <f t="shared" si="33"/>
        <v>0.48</v>
      </c>
      <c r="J445" s="1"/>
      <c r="K445" s="1"/>
      <c r="L445" s="1"/>
      <c r="M445" s="1"/>
      <c r="N445" s="1"/>
      <c r="O445" s="1">
        <v>21</v>
      </c>
      <c r="P445" s="15">
        <v>0</v>
      </c>
      <c r="Q445" s="1" t="s">
        <v>33</v>
      </c>
      <c r="R445" s="20" t="str">
        <f t="shared" si="31"/>
        <v>horizontal</v>
      </c>
      <c r="S445" s="19">
        <v>0</v>
      </c>
      <c r="T445" s="19">
        <v>0</v>
      </c>
      <c r="U445" s="19">
        <v>0</v>
      </c>
      <c r="V445" s="20">
        <v>0</v>
      </c>
      <c r="W445" s="20">
        <v>-1</v>
      </c>
      <c r="Y445" s="1"/>
      <c r="Z445" s="1">
        <v>199</v>
      </c>
      <c r="AA445" s="1"/>
      <c r="AB445" s="1"/>
      <c r="AC445" s="1"/>
      <c r="AD445" s="1">
        <v>0.188</v>
      </c>
      <c r="AE445" s="22" t="s">
        <v>65</v>
      </c>
      <c r="AF445" s="22"/>
    </row>
    <row r="446" spans="1:32" x14ac:dyDescent="0.2">
      <c r="A446" s="1">
        <v>628</v>
      </c>
      <c r="B446" s="1"/>
      <c r="D446" s="1" t="s">
        <v>4</v>
      </c>
      <c r="E446" s="1" t="s">
        <v>25</v>
      </c>
      <c r="F446" s="1">
        <v>0.48</v>
      </c>
      <c r="G446" s="1">
        <v>0</v>
      </c>
      <c r="H446" s="1">
        <v>1.48</v>
      </c>
      <c r="I446" s="1">
        <f t="shared" si="33"/>
        <v>0.48</v>
      </c>
      <c r="J446" s="1"/>
      <c r="K446" s="1"/>
      <c r="L446" s="1"/>
      <c r="M446" s="1"/>
      <c r="N446" s="1"/>
      <c r="O446" s="1">
        <v>21</v>
      </c>
      <c r="P446" s="15">
        <v>0</v>
      </c>
      <c r="Q446" s="1" t="s">
        <v>33</v>
      </c>
      <c r="R446" s="20" t="str">
        <f t="shared" si="31"/>
        <v>horizontal</v>
      </c>
      <c r="S446" s="19">
        <v>0</v>
      </c>
      <c r="T446" s="19">
        <v>0</v>
      </c>
      <c r="U446" s="19">
        <v>0</v>
      </c>
      <c r="V446" s="20">
        <v>0</v>
      </c>
      <c r="W446" s="20">
        <v>-1</v>
      </c>
      <c r="Y446" s="1"/>
      <c r="Z446" s="1">
        <v>250</v>
      </c>
      <c r="AA446" s="1"/>
      <c r="AB446" s="1"/>
      <c r="AC446" s="1"/>
      <c r="AD446" s="1">
        <v>0.19400000000000001</v>
      </c>
      <c r="AE446" s="22" t="s">
        <v>65</v>
      </c>
      <c r="AF446" s="22"/>
    </row>
    <row r="447" spans="1:32" x14ac:dyDescent="0.2">
      <c r="A447" s="1">
        <v>629</v>
      </c>
      <c r="B447" s="1"/>
      <c r="D447" s="1" t="s">
        <v>4</v>
      </c>
      <c r="E447" s="1" t="s">
        <v>25</v>
      </c>
      <c r="F447" s="1">
        <v>0.48</v>
      </c>
      <c r="G447" s="1">
        <v>0</v>
      </c>
      <c r="H447" s="1">
        <v>1.48</v>
      </c>
      <c r="I447" s="1">
        <f t="shared" si="33"/>
        <v>0.48</v>
      </c>
      <c r="J447" s="1"/>
      <c r="K447" s="1"/>
      <c r="L447" s="1"/>
      <c r="M447" s="1"/>
      <c r="N447" s="1"/>
      <c r="O447" s="1">
        <v>21</v>
      </c>
      <c r="P447" s="15">
        <v>0</v>
      </c>
      <c r="Q447" s="1" t="s">
        <v>33</v>
      </c>
      <c r="R447" s="20" t="str">
        <f t="shared" si="31"/>
        <v>horizontal</v>
      </c>
      <c r="S447" s="19">
        <v>0</v>
      </c>
      <c r="T447" s="19">
        <v>0</v>
      </c>
      <c r="U447" s="19">
        <v>0</v>
      </c>
      <c r="V447" s="20">
        <v>0</v>
      </c>
      <c r="W447" s="20">
        <v>-1</v>
      </c>
      <c r="Y447" s="1"/>
      <c r="Z447" s="1">
        <v>299</v>
      </c>
      <c r="AA447" s="1"/>
      <c r="AB447" s="1"/>
      <c r="AC447" s="1"/>
      <c r="AD447" s="1">
        <v>0.19800000000000001</v>
      </c>
      <c r="AE447" s="22" t="s">
        <v>65</v>
      </c>
      <c r="AF447" s="22"/>
    </row>
    <row r="448" spans="1:32" x14ac:dyDescent="0.2">
      <c r="A448" s="1">
        <v>630</v>
      </c>
      <c r="B448" s="1"/>
      <c r="D448" s="1" t="s">
        <v>4</v>
      </c>
      <c r="E448" s="1" t="s">
        <v>25</v>
      </c>
      <c r="F448" s="1">
        <v>0.48</v>
      </c>
      <c r="G448" s="1">
        <v>0</v>
      </c>
      <c r="H448" s="1">
        <v>1.48</v>
      </c>
      <c r="I448" s="1">
        <f t="shared" si="33"/>
        <v>0.48</v>
      </c>
      <c r="J448" s="1"/>
      <c r="K448" s="1"/>
      <c r="L448" s="1"/>
      <c r="M448" s="1"/>
      <c r="N448" s="1"/>
      <c r="O448" s="1">
        <v>21</v>
      </c>
      <c r="P448" s="15">
        <v>0</v>
      </c>
      <c r="Q448" s="1" t="s">
        <v>33</v>
      </c>
      <c r="R448" s="20" t="str">
        <f t="shared" si="31"/>
        <v>horizontal</v>
      </c>
      <c r="S448" s="19">
        <v>0</v>
      </c>
      <c r="T448" s="19">
        <v>0</v>
      </c>
      <c r="U448" s="19">
        <v>0</v>
      </c>
      <c r="V448" s="20">
        <v>0</v>
      </c>
      <c r="W448" s="20">
        <v>-1</v>
      </c>
      <c r="Y448" s="1"/>
      <c r="Z448" s="1">
        <v>350</v>
      </c>
      <c r="AA448" s="1"/>
      <c r="AB448" s="1"/>
      <c r="AC448" s="1"/>
      <c r="AD448" s="1">
        <v>0.20100000000000001</v>
      </c>
      <c r="AE448" s="22" t="s">
        <v>65</v>
      </c>
      <c r="AF448" s="22"/>
    </row>
    <row r="449" spans="1:32" x14ac:dyDescent="0.2">
      <c r="A449" s="1">
        <v>631</v>
      </c>
      <c r="B449" s="1"/>
      <c r="D449" s="1" t="s">
        <v>4</v>
      </c>
      <c r="E449" s="1" t="s">
        <v>25</v>
      </c>
      <c r="F449" s="1">
        <v>0.48</v>
      </c>
      <c r="G449" s="1">
        <v>0</v>
      </c>
      <c r="H449" s="1">
        <v>1.48</v>
      </c>
      <c r="I449" s="1">
        <f t="shared" si="33"/>
        <v>0.48</v>
      </c>
      <c r="J449" s="1"/>
      <c r="K449" s="1"/>
      <c r="L449" s="1"/>
      <c r="M449" s="1"/>
      <c r="N449" s="1"/>
      <c r="O449" s="1">
        <v>21</v>
      </c>
      <c r="P449" s="15">
        <v>0</v>
      </c>
      <c r="Q449" s="1" t="s">
        <v>33</v>
      </c>
      <c r="R449" s="20" t="str">
        <f t="shared" si="31"/>
        <v>horizontal</v>
      </c>
      <c r="S449" s="19">
        <v>0</v>
      </c>
      <c r="T449" s="19">
        <v>0</v>
      </c>
      <c r="U449" s="19">
        <v>0</v>
      </c>
      <c r="V449" s="20">
        <v>0</v>
      </c>
      <c r="W449" s="20">
        <v>-1</v>
      </c>
      <c r="Y449" s="1"/>
      <c r="Z449" s="1">
        <v>398</v>
      </c>
      <c r="AA449" s="1"/>
      <c r="AB449" s="1"/>
      <c r="AC449" s="1"/>
      <c r="AD449" s="1">
        <v>0.20599999999999999</v>
      </c>
      <c r="AE449" s="22" t="s">
        <v>65</v>
      </c>
      <c r="AF449" s="22"/>
    </row>
    <row r="450" spans="1:32" x14ac:dyDescent="0.2">
      <c r="A450" s="1">
        <v>632</v>
      </c>
      <c r="B450" s="1"/>
      <c r="D450" s="1" t="s">
        <v>4</v>
      </c>
      <c r="E450" s="1" t="s">
        <v>25</v>
      </c>
      <c r="F450" s="1">
        <v>0.48</v>
      </c>
      <c r="G450" s="1">
        <v>0</v>
      </c>
      <c r="H450" s="1">
        <v>1.48</v>
      </c>
      <c r="I450" s="1">
        <f t="shared" si="33"/>
        <v>0.48</v>
      </c>
      <c r="J450" s="1"/>
      <c r="K450" s="1"/>
      <c r="L450" s="1"/>
      <c r="M450" s="1"/>
      <c r="N450" s="1"/>
      <c r="O450" s="1">
        <v>21</v>
      </c>
      <c r="P450" s="15">
        <v>0</v>
      </c>
      <c r="Q450" s="1" t="s">
        <v>33</v>
      </c>
      <c r="R450" s="20" t="str">
        <f t="shared" si="31"/>
        <v>horizontal</v>
      </c>
      <c r="S450" s="19">
        <v>0</v>
      </c>
      <c r="T450" s="19">
        <v>0</v>
      </c>
      <c r="U450" s="19">
        <v>0</v>
      </c>
      <c r="V450" s="20">
        <v>0</v>
      </c>
      <c r="W450" s="20">
        <v>-1</v>
      </c>
      <c r="Y450" s="1"/>
      <c r="Z450" s="1">
        <v>449</v>
      </c>
      <c r="AA450" s="1"/>
      <c r="AB450" s="1"/>
      <c r="AC450" s="1"/>
      <c r="AD450" s="1">
        <v>0.21299999999999999</v>
      </c>
      <c r="AE450" s="22" t="s">
        <v>65</v>
      </c>
      <c r="AF450" s="22"/>
    </row>
    <row r="451" spans="1:32" s="5" customFormat="1" ht="16" thickBot="1" x14ac:dyDescent="0.25">
      <c r="A451" s="1">
        <v>633</v>
      </c>
      <c r="D451" s="5" t="s">
        <v>4</v>
      </c>
      <c r="E451" s="5" t="s">
        <v>25</v>
      </c>
      <c r="F451" s="5">
        <v>0.48</v>
      </c>
      <c r="G451" s="5">
        <v>0</v>
      </c>
      <c r="H451" s="5">
        <v>1.48</v>
      </c>
      <c r="I451" s="5">
        <f t="shared" si="33"/>
        <v>0.48</v>
      </c>
      <c r="O451" s="5">
        <v>21</v>
      </c>
      <c r="P451" s="25">
        <v>0</v>
      </c>
      <c r="Q451" s="5" t="s">
        <v>33</v>
      </c>
      <c r="R451" s="20" t="str">
        <f t="shared" si="31"/>
        <v>horizontal</v>
      </c>
      <c r="S451" s="30">
        <v>0</v>
      </c>
      <c r="T451" s="30">
        <v>0</v>
      </c>
      <c r="U451" s="30">
        <v>0</v>
      </c>
      <c r="V451" s="31">
        <v>0</v>
      </c>
      <c r="W451" s="31">
        <v>-1</v>
      </c>
      <c r="Z451" s="5">
        <v>499</v>
      </c>
      <c r="AD451" s="5">
        <v>0.219</v>
      </c>
      <c r="AE451" s="33" t="s">
        <v>65</v>
      </c>
      <c r="AF451" s="22"/>
    </row>
    <row r="452" spans="1:32" s="3" customFormat="1" x14ac:dyDescent="0.2">
      <c r="A452" s="1">
        <v>634</v>
      </c>
      <c r="D452" s="3" t="s">
        <v>9</v>
      </c>
      <c r="E452" s="3" t="s">
        <v>25</v>
      </c>
      <c r="F452" s="3">
        <v>0.5</v>
      </c>
      <c r="G452" s="3">
        <v>0</v>
      </c>
      <c r="H452" s="3">
        <v>0.8</v>
      </c>
      <c r="I452" s="3">
        <f t="shared" si="33"/>
        <v>0.5</v>
      </c>
      <c r="O452" s="3">
        <v>21</v>
      </c>
      <c r="P452" s="34">
        <v>0</v>
      </c>
      <c r="Q452" s="3" t="s">
        <v>33</v>
      </c>
      <c r="R452" s="20" t="str">
        <f t="shared" ref="R452:R515" si="34">R451</f>
        <v>horizontal</v>
      </c>
      <c r="S452" s="35">
        <v>0</v>
      </c>
      <c r="T452" s="35">
        <v>0</v>
      </c>
      <c r="U452" s="35">
        <v>0</v>
      </c>
      <c r="V452" s="36">
        <v>0</v>
      </c>
      <c r="W452" s="36">
        <v>-1</v>
      </c>
      <c r="Z452" s="3">
        <v>28.3</v>
      </c>
      <c r="AD452" s="3">
        <v>2.66</v>
      </c>
      <c r="AE452" s="37" t="s">
        <v>67</v>
      </c>
      <c r="AF452" s="22"/>
    </row>
    <row r="453" spans="1:32" x14ac:dyDescent="0.2">
      <c r="A453" s="1">
        <v>635</v>
      </c>
      <c r="B453" s="1"/>
      <c r="D453" s="1" t="s">
        <v>9</v>
      </c>
      <c r="E453" s="1" t="s">
        <v>25</v>
      </c>
      <c r="F453" s="1">
        <v>0.5</v>
      </c>
      <c r="G453" s="1">
        <v>0</v>
      </c>
      <c r="H453" s="1">
        <v>0.8</v>
      </c>
      <c r="I453" s="1">
        <f t="shared" si="33"/>
        <v>0.5</v>
      </c>
      <c r="J453" s="1"/>
      <c r="K453" s="1"/>
      <c r="L453" s="1"/>
      <c r="M453" s="1"/>
      <c r="N453" s="1"/>
      <c r="O453" s="1">
        <v>21</v>
      </c>
      <c r="P453" s="15">
        <v>0</v>
      </c>
      <c r="Q453" s="1" t="s">
        <v>33</v>
      </c>
      <c r="R453" s="20" t="str">
        <f t="shared" si="34"/>
        <v>horizontal</v>
      </c>
      <c r="S453" s="19">
        <v>0</v>
      </c>
      <c r="T453" s="19">
        <v>0</v>
      </c>
      <c r="U453" s="19">
        <v>0</v>
      </c>
      <c r="V453" s="20">
        <v>0</v>
      </c>
      <c r="W453" s="20">
        <v>-1</v>
      </c>
      <c r="Y453" s="1"/>
      <c r="Z453" s="1">
        <v>30.299999999999997</v>
      </c>
      <c r="AA453" s="1"/>
      <c r="AB453" s="1"/>
      <c r="AC453" s="1"/>
      <c r="AD453" s="1">
        <v>2.65</v>
      </c>
      <c r="AE453" s="22" t="s">
        <v>67</v>
      </c>
      <c r="AF453" s="22"/>
    </row>
    <row r="454" spans="1:32" x14ac:dyDescent="0.2">
      <c r="A454" s="1">
        <v>636</v>
      </c>
      <c r="B454" s="1"/>
      <c r="D454" s="1" t="s">
        <v>9</v>
      </c>
      <c r="E454" s="1" t="s">
        <v>25</v>
      </c>
      <c r="F454" s="1">
        <v>0.5</v>
      </c>
      <c r="G454" s="1">
        <v>0</v>
      </c>
      <c r="H454" s="1">
        <v>0.8</v>
      </c>
      <c r="I454" s="1">
        <f t="shared" si="33"/>
        <v>0.5</v>
      </c>
      <c r="J454" s="1"/>
      <c r="K454" s="1"/>
      <c r="L454" s="1"/>
      <c r="M454" s="1"/>
      <c r="N454" s="1"/>
      <c r="O454" s="1">
        <v>21</v>
      </c>
      <c r="P454" s="15">
        <v>0</v>
      </c>
      <c r="Q454" s="1" t="s">
        <v>33</v>
      </c>
      <c r="R454" s="20" t="str">
        <f t="shared" si="34"/>
        <v>horizontal</v>
      </c>
      <c r="S454" s="19">
        <v>0</v>
      </c>
      <c r="T454" s="19">
        <v>0</v>
      </c>
      <c r="U454" s="19">
        <v>0</v>
      </c>
      <c r="V454" s="20">
        <v>0</v>
      </c>
      <c r="W454" s="20">
        <v>-1</v>
      </c>
      <c r="Y454" s="1"/>
      <c r="Z454" s="1">
        <v>40.400000000000006</v>
      </c>
      <c r="AA454" s="1"/>
      <c r="AB454" s="1"/>
      <c r="AC454" s="1"/>
      <c r="AD454" s="1">
        <v>2.57</v>
      </c>
      <c r="AE454" s="22" t="s">
        <v>67</v>
      </c>
      <c r="AF454" s="22"/>
    </row>
    <row r="455" spans="1:32" x14ac:dyDescent="0.2">
      <c r="A455" s="1">
        <v>637</v>
      </c>
      <c r="B455" s="1"/>
      <c r="D455" s="1" t="s">
        <v>9</v>
      </c>
      <c r="E455" s="1" t="s">
        <v>25</v>
      </c>
      <c r="F455" s="1">
        <v>0.5</v>
      </c>
      <c r="G455" s="1">
        <v>0</v>
      </c>
      <c r="H455" s="1">
        <v>0.8</v>
      </c>
      <c r="I455" s="1">
        <f t="shared" ref="I455:I486" si="35">F455</f>
        <v>0.5</v>
      </c>
      <c r="J455" s="1"/>
      <c r="K455" s="1"/>
      <c r="L455" s="1"/>
      <c r="M455" s="1"/>
      <c r="N455" s="1"/>
      <c r="O455" s="1">
        <v>21</v>
      </c>
      <c r="P455" s="15">
        <v>0</v>
      </c>
      <c r="Q455" s="1" t="s">
        <v>33</v>
      </c>
      <c r="R455" s="20" t="str">
        <f t="shared" si="34"/>
        <v>horizontal</v>
      </c>
      <c r="S455" s="19">
        <v>0</v>
      </c>
      <c r="T455" s="19">
        <v>0</v>
      </c>
      <c r="U455" s="19">
        <v>0</v>
      </c>
      <c r="V455" s="20">
        <v>0</v>
      </c>
      <c r="W455" s="20">
        <v>-1</v>
      </c>
      <c r="Y455" s="1"/>
      <c r="Z455" s="1">
        <v>60.599999999999994</v>
      </c>
      <c r="AA455" s="1"/>
      <c r="AB455" s="1"/>
      <c r="AC455" s="1"/>
      <c r="AD455" s="1">
        <v>2.4900000000000002</v>
      </c>
      <c r="AE455" s="22" t="s">
        <v>67</v>
      </c>
      <c r="AF455" s="22"/>
    </row>
    <row r="456" spans="1:32" x14ac:dyDescent="0.2">
      <c r="A456" s="1">
        <v>638</v>
      </c>
      <c r="B456" s="1"/>
      <c r="D456" s="1" t="s">
        <v>9</v>
      </c>
      <c r="E456" s="1" t="s">
        <v>25</v>
      </c>
      <c r="F456" s="1">
        <v>0.5</v>
      </c>
      <c r="G456" s="1">
        <v>0</v>
      </c>
      <c r="H456" s="1">
        <v>0.8</v>
      </c>
      <c r="I456" s="1">
        <f t="shared" si="35"/>
        <v>0.5</v>
      </c>
      <c r="J456" s="1"/>
      <c r="K456" s="1"/>
      <c r="L456" s="1"/>
      <c r="M456" s="1"/>
      <c r="N456" s="1"/>
      <c r="O456" s="1">
        <v>21</v>
      </c>
      <c r="P456" s="15">
        <v>0</v>
      </c>
      <c r="Q456" s="1" t="s">
        <v>33</v>
      </c>
      <c r="R456" s="20" t="str">
        <f t="shared" si="34"/>
        <v>horizontal</v>
      </c>
      <c r="S456" s="19">
        <v>0</v>
      </c>
      <c r="T456" s="19">
        <v>0</v>
      </c>
      <c r="U456" s="19">
        <v>0</v>
      </c>
      <c r="V456" s="20">
        <v>0</v>
      </c>
      <c r="W456" s="20">
        <v>-1</v>
      </c>
      <c r="Y456" s="1"/>
      <c r="Z456" s="1">
        <v>80.800000000000011</v>
      </c>
      <c r="AA456" s="1"/>
      <c r="AB456" s="1"/>
      <c r="AC456" s="1"/>
      <c r="AD456" s="1">
        <v>2.38</v>
      </c>
      <c r="AE456" s="22" t="s">
        <v>67</v>
      </c>
      <c r="AF456" s="22"/>
    </row>
    <row r="457" spans="1:32" s="5" customFormat="1" ht="16" thickBot="1" x14ac:dyDescent="0.25">
      <c r="A457" s="1">
        <v>639</v>
      </c>
      <c r="D457" s="5" t="s">
        <v>9</v>
      </c>
      <c r="E457" s="5" t="s">
        <v>25</v>
      </c>
      <c r="F457" s="5">
        <v>0.5</v>
      </c>
      <c r="G457" s="5">
        <v>0</v>
      </c>
      <c r="H457" s="5">
        <v>0.8</v>
      </c>
      <c r="I457" s="5">
        <f t="shared" si="35"/>
        <v>0.5</v>
      </c>
      <c r="O457" s="5">
        <v>21</v>
      </c>
      <c r="P457" s="25">
        <v>0</v>
      </c>
      <c r="Q457" s="5" t="s">
        <v>33</v>
      </c>
      <c r="R457" s="20" t="str">
        <f t="shared" si="34"/>
        <v>horizontal</v>
      </c>
      <c r="S457" s="30">
        <v>0</v>
      </c>
      <c r="T457" s="30">
        <v>0</v>
      </c>
      <c r="U457" s="30">
        <v>0</v>
      </c>
      <c r="V457" s="31">
        <v>0</v>
      </c>
      <c r="W457" s="31">
        <v>-1</v>
      </c>
      <c r="Z457" s="5">
        <v>101</v>
      </c>
      <c r="AD457" s="5">
        <v>2.33</v>
      </c>
      <c r="AE457" s="33" t="s">
        <v>67</v>
      </c>
      <c r="AF457" s="22"/>
    </row>
    <row r="458" spans="1:32" s="3" customFormat="1" x14ac:dyDescent="0.2">
      <c r="A458" s="1">
        <v>640</v>
      </c>
      <c r="D458" s="3" t="s">
        <v>4</v>
      </c>
      <c r="E458" s="3" t="s">
        <v>25</v>
      </c>
      <c r="F458" s="3">
        <v>0.3</v>
      </c>
      <c r="G458" s="3">
        <v>0</v>
      </c>
      <c r="H458" s="3">
        <v>0.6</v>
      </c>
      <c r="I458" s="3">
        <f t="shared" si="35"/>
        <v>0.3</v>
      </c>
      <c r="O458" s="3">
        <v>21</v>
      </c>
      <c r="P458" s="34">
        <v>0</v>
      </c>
      <c r="Q458" s="3" t="s">
        <v>33</v>
      </c>
      <c r="R458" s="20" t="str">
        <f t="shared" si="34"/>
        <v>horizontal</v>
      </c>
      <c r="S458" s="35">
        <v>0</v>
      </c>
      <c r="T458" s="35">
        <v>0</v>
      </c>
      <c r="U458" s="35">
        <v>0</v>
      </c>
      <c r="V458" s="36">
        <v>0</v>
      </c>
      <c r="W458" s="36">
        <v>-1</v>
      </c>
      <c r="Z458" s="3">
        <v>51</v>
      </c>
      <c r="AD458" s="3">
        <v>4.04</v>
      </c>
      <c r="AE458" s="37" t="s">
        <v>66</v>
      </c>
      <c r="AF458" s="22"/>
    </row>
    <row r="459" spans="1:32" x14ac:dyDescent="0.2">
      <c r="A459" s="1">
        <v>641</v>
      </c>
      <c r="B459" s="1"/>
      <c r="D459" s="1" t="s">
        <v>4</v>
      </c>
      <c r="E459" s="1" t="s">
        <v>25</v>
      </c>
      <c r="F459" s="1">
        <v>0.3</v>
      </c>
      <c r="G459" s="1">
        <v>0</v>
      </c>
      <c r="H459" s="1">
        <v>0.6</v>
      </c>
      <c r="I459" s="1">
        <f t="shared" si="35"/>
        <v>0.3</v>
      </c>
      <c r="J459" s="1"/>
      <c r="K459" s="1"/>
      <c r="L459" s="1"/>
      <c r="M459" s="1"/>
      <c r="N459" s="1"/>
      <c r="O459" s="1">
        <v>21</v>
      </c>
      <c r="P459" s="15">
        <v>0</v>
      </c>
      <c r="Q459" s="1" t="s">
        <v>33</v>
      </c>
      <c r="R459" s="20" t="str">
        <f t="shared" si="34"/>
        <v>horizontal</v>
      </c>
      <c r="S459" s="19">
        <v>0</v>
      </c>
      <c r="T459" s="19">
        <v>0</v>
      </c>
      <c r="U459" s="19">
        <v>0</v>
      </c>
      <c r="V459" s="20">
        <v>0</v>
      </c>
      <c r="W459" s="20">
        <v>-1</v>
      </c>
      <c r="Y459" s="1"/>
      <c r="Z459" s="1">
        <v>54.7</v>
      </c>
      <c r="AA459" s="1"/>
      <c r="AB459" s="1"/>
      <c r="AC459" s="1"/>
      <c r="AD459" s="1">
        <v>3.97</v>
      </c>
      <c r="AE459" s="22" t="s">
        <v>66</v>
      </c>
      <c r="AF459" s="22"/>
    </row>
    <row r="460" spans="1:32" x14ac:dyDescent="0.2">
      <c r="A460" s="1">
        <v>642</v>
      </c>
      <c r="B460" s="1"/>
      <c r="D460" s="1" t="s">
        <v>4</v>
      </c>
      <c r="E460" s="1" t="s">
        <v>25</v>
      </c>
      <c r="F460" s="1">
        <v>0.3</v>
      </c>
      <c r="G460" s="1">
        <v>0</v>
      </c>
      <c r="H460" s="1">
        <v>0.6</v>
      </c>
      <c r="I460" s="1">
        <f t="shared" si="35"/>
        <v>0.3</v>
      </c>
      <c r="J460" s="1"/>
      <c r="K460" s="1"/>
      <c r="L460" s="1"/>
      <c r="M460" s="1"/>
      <c r="N460" s="1"/>
      <c r="O460" s="1">
        <v>21</v>
      </c>
      <c r="P460" s="15">
        <v>0</v>
      </c>
      <c r="Q460" s="1" t="s">
        <v>33</v>
      </c>
      <c r="R460" s="20" t="str">
        <f t="shared" si="34"/>
        <v>horizontal</v>
      </c>
      <c r="S460" s="19">
        <v>0</v>
      </c>
      <c r="T460" s="19">
        <v>0</v>
      </c>
      <c r="U460" s="19">
        <v>0</v>
      </c>
      <c r="V460" s="20">
        <v>0</v>
      </c>
      <c r="W460" s="20">
        <v>-1</v>
      </c>
      <c r="Y460" s="1"/>
      <c r="Z460" s="1">
        <v>59.7</v>
      </c>
      <c r="AA460" s="1"/>
      <c r="AB460" s="1"/>
      <c r="AC460" s="1"/>
      <c r="AD460" s="1">
        <v>3.9</v>
      </c>
      <c r="AE460" s="22" t="s">
        <v>66</v>
      </c>
      <c r="AF460" s="22"/>
    </row>
    <row r="461" spans="1:32" x14ac:dyDescent="0.2">
      <c r="A461" s="1">
        <v>643</v>
      </c>
      <c r="B461" s="1"/>
      <c r="D461" s="1" t="s">
        <v>4</v>
      </c>
      <c r="E461" s="1" t="s">
        <v>25</v>
      </c>
      <c r="F461" s="1">
        <v>0.3</v>
      </c>
      <c r="G461" s="1">
        <v>0</v>
      </c>
      <c r="H461" s="1">
        <v>0.6</v>
      </c>
      <c r="I461" s="1">
        <f t="shared" si="35"/>
        <v>0.3</v>
      </c>
      <c r="J461" s="1"/>
      <c r="K461" s="1"/>
      <c r="L461" s="1"/>
      <c r="M461" s="1"/>
      <c r="N461" s="1"/>
      <c r="O461" s="1">
        <v>21</v>
      </c>
      <c r="P461" s="15">
        <v>0</v>
      </c>
      <c r="Q461" s="1" t="s">
        <v>33</v>
      </c>
      <c r="R461" s="20" t="str">
        <f t="shared" si="34"/>
        <v>horizontal</v>
      </c>
      <c r="S461" s="19">
        <v>0</v>
      </c>
      <c r="T461" s="19">
        <v>0</v>
      </c>
      <c r="U461" s="19">
        <v>0</v>
      </c>
      <c r="V461" s="20">
        <v>0</v>
      </c>
      <c r="W461" s="20">
        <v>-1</v>
      </c>
      <c r="Y461" s="1"/>
      <c r="Z461" s="1">
        <v>69.8</v>
      </c>
      <c r="AA461" s="1"/>
      <c r="AB461" s="1"/>
      <c r="AC461" s="1"/>
      <c r="AD461" s="1">
        <v>3.77</v>
      </c>
      <c r="AE461" s="22" t="s">
        <v>66</v>
      </c>
      <c r="AF461" s="22"/>
    </row>
    <row r="462" spans="1:32" x14ac:dyDescent="0.2">
      <c r="A462" s="1">
        <v>644</v>
      </c>
      <c r="B462" s="1"/>
      <c r="D462" s="1" t="s">
        <v>4</v>
      </c>
      <c r="E462" s="1" t="s">
        <v>25</v>
      </c>
      <c r="F462" s="1">
        <v>0.3</v>
      </c>
      <c r="G462" s="1">
        <v>0</v>
      </c>
      <c r="H462" s="1">
        <v>0.6</v>
      </c>
      <c r="I462" s="1">
        <f t="shared" si="35"/>
        <v>0.3</v>
      </c>
      <c r="J462" s="1"/>
      <c r="K462" s="1"/>
      <c r="L462" s="1"/>
      <c r="M462" s="1"/>
      <c r="N462" s="1"/>
      <c r="O462" s="1">
        <v>21</v>
      </c>
      <c r="P462" s="15">
        <v>0</v>
      </c>
      <c r="Q462" s="1" t="s">
        <v>33</v>
      </c>
      <c r="R462" s="20" t="str">
        <f t="shared" si="34"/>
        <v>horizontal</v>
      </c>
      <c r="S462" s="19">
        <v>0</v>
      </c>
      <c r="T462" s="19">
        <v>0</v>
      </c>
      <c r="U462" s="19">
        <v>0</v>
      </c>
      <c r="V462" s="20">
        <v>0</v>
      </c>
      <c r="W462" s="20">
        <v>-1</v>
      </c>
      <c r="Y462" s="1"/>
      <c r="Z462" s="1">
        <v>79.8</v>
      </c>
      <c r="AA462" s="1"/>
      <c r="AB462" s="1"/>
      <c r="AC462" s="1"/>
      <c r="AD462" s="1">
        <v>3.62</v>
      </c>
      <c r="AE462" s="22" t="s">
        <v>66</v>
      </c>
      <c r="AF462" s="22"/>
    </row>
    <row r="463" spans="1:32" x14ac:dyDescent="0.2">
      <c r="A463" s="1">
        <v>645</v>
      </c>
      <c r="B463" s="1"/>
      <c r="D463" s="1" t="s">
        <v>4</v>
      </c>
      <c r="E463" s="1" t="s">
        <v>25</v>
      </c>
      <c r="F463" s="1">
        <v>0.3</v>
      </c>
      <c r="G463" s="1">
        <v>0</v>
      </c>
      <c r="H463" s="1">
        <v>0.6</v>
      </c>
      <c r="I463" s="1">
        <f t="shared" si="35"/>
        <v>0.3</v>
      </c>
      <c r="J463" s="1"/>
      <c r="K463" s="1"/>
      <c r="L463" s="1"/>
      <c r="M463" s="1"/>
      <c r="N463" s="1"/>
      <c r="O463" s="1">
        <v>21</v>
      </c>
      <c r="P463" s="15">
        <v>0</v>
      </c>
      <c r="Q463" s="1" t="s">
        <v>33</v>
      </c>
      <c r="R463" s="20" t="str">
        <f t="shared" si="34"/>
        <v>horizontal</v>
      </c>
      <c r="S463" s="19">
        <v>0</v>
      </c>
      <c r="T463" s="19">
        <v>0</v>
      </c>
      <c r="U463" s="19">
        <v>0</v>
      </c>
      <c r="V463" s="20">
        <v>0</v>
      </c>
      <c r="W463" s="20">
        <v>-1</v>
      </c>
      <c r="Y463" s="1"/>
      <c r="Z463" s="1">
        <v>89.8</v>
      </c>
      <c r="AA463" s="1"/>
      <c r="AB463" s="1"/>
      <c r="AC463" s="1"/>
      <c r="AD463" s="1">
        <v>3.67</v>
      </c>
      <c r="AE463" s="22" t="s">
        <v>66</v>
      </c>
      <c r="AF463" s="22"/>
    </row>
    <row r="464" spans="1:32" x14ac:dyDescent="0.2">
      <c r="A464" s="1">
        <v>646</v>
      </c>
      <c r="B464" s="1"/>
      <c r="D464" s="1" t="s">
        <v>4</v>
      </c>
      <c r="E464" s="1" t="s">
        <v>25</v>
      </c>
      <c r="F464" s="1">
        <v>0.3</v>
      </c>
      <c r="G464" s="1">
        <v>0</v>
      </c>
      <c r="H464" s="1">
        <v>0.6</v>
      </c>
      <c r="I464" s="1">
        <f t="shared" si="35"/>
        <v>0.3</v>
      </c>
      <c r="J464" s="1"/>
      <c r="K464" s="1"/>
      <c r="L464" s="1"/>
      <c r="M464" s="1"/>
      <c r="N464" s="1"/>
      <c r="O464" s="1">
        <v>21</v>
      </c>
      <c r="P464" s="15">
        <v>0</v>
      </c>
      <c r="Q464" s="1" t="s">
        <v>33</v>
      </c>
      <c r="R464" s="20" t="str">
        <f t="shared" si="34"/>
        <v>horizontal</v>
      </c>
      <c r="S464" s="19">
        <v>0</v>
      </c>
      <c r="T464" s="19">
        <v>0</v>
      </c>
      <c r="U464" s="19">
        <v>0</v>
      </c>
      <c r="V464" s="20">
        <v>0</v>
      </c>
      <c r="W464" s="20">
        <v>-1</v>
      </c>
      <c r="Y464" s="1"/>
      <c r="Z464" s="1">
        <v>98.1</v>
      </c>
      <c r="AA464" s="1"/>
      <c r="AB464" s="1"/>
      <c r="AC464" s="1"/>
      <c r="AD464" s="1">
        <v>3.72</v>
      </c>
      <c r="AE464" s="22" t="s">
        <v>66</v>
      </c>
      <c r="AF464" s="22"/>
    </row>
    <row r="465" spans="1:32" x14ac:dyDescent="0.2">
      <c r="A465" s="1">
        <v>647</v>
      </c>
      <c r="B465" s="1"/>
      <c r="D465" s="1" t="s">
        <v>4</v>
      </c>
      <c r="E465" s="1" t="s">
        <v>25</v>
      </c>
      <c r="F465" s="1">
        <v>0.5</v>
      </c>
      <c r="G465" s="1">
        <v>0</v>
      </c>
      <c r="H465" s="1">
        <v>0.8</v>
      </c>
      <c r="I465" s="1">
        <f t="shared" si="35"/>
        <v>0.5</v>
      </c>
      <c r="J465" s="1"/>
      <c r="K465" s="1"/>
      <c r="L465" s="1"/>
      <c r="M465" s="1"/>
      <c r="N465" s="1"/>
      <c r="O465" s="1">
        <v>21</v>
      </c>
      <c r="P465" s="15">
        <v>0</v>
      </c>
      <c r="Q465" s="1" t="s">
        <v>33</v>
      </c>
      <c r="R465" s="20" t="str">
        <f t="shared" si="34"/>
        <v>horizontal</v>
      </c>
      <c r="S465" s="19">
        <v>0</v>
      </c>
      <c r="T465" s="19">
        <v>0</v>
      </c>
      <c r="U465" s="19">
        <v>0</v>
      </c>
      <c r="V465" s="20">
        <v>0</v>
      </c>
      <c r="W465" s="20">
        <v>-1</v>
      </c>
      <c r="Y465" s="1"/>
      <c r="Z465" s="1">
        <v>39.9</v>
      </c>
      <c r="AA465" s="1"/>
      <c r="AB465" s="1"/>
      <c r="AC465" s="1"/>
      <c r="AD465" s="1">
        <v>2.91</v>
      </c>
      <c r="AE465" s="22" t="s">
        <v>66</v>
      </c>
      <c r="AF465" s="22"/>
    </row>
    <row r="466" spans="1:32" x14ac:dyDescent="0.2">
      <c r="A466" s="1">
        <v>648</v>
      </c>
      <c r="B466" s="1"/>
      <c r="D466" s="1" t="s">
        <v>4</v>
      </c>
      <c r="E466" s="1" t="s">
        <v>25</v>
      </c>
      <c r="F466" s="1">
        <v>0.5</v>
      </c>
      <c r="G466" s="1">
        <v>0</v>
      </c>
      <c r="H466" s="1">
        <v>0.8</v>
      </c>
      <c r="I466" s="1">
        <f t="shared" si="35"/>
        <v>0.5</v>
      </c>
      <c r="J466" s="1"/>
      <c r="K466" s="1"/>
      <c r="L466" s="1"/>
      <c r="M466" s="1"/>
      <c r="N466" s="1"/>
      <c r="O466" s="1">
        <v>21</v>
      </c>
      <c r="P466" s="15">
        <v>0</v>
      </c>
      <c r="Q466" s="1" t="s">
        <v>33</v>
      </c>
      <c r="R466" s="20" t="str">
        <f t="shared" si="34"/>
        <v>horizontal</v>
      </c>
      <c r="S466" s="19">
        <v>0</v>
      </c>
      <c r="T466" s="19">
        <v>0</v>
      </c>
      <c r="U466" s="19">
        <v>0</v>
      </c>
      <c r="V466" s="20">
        <v>0</v>
      </c>
      <c r="W466" s="20">
        <v>-1</v>
      </c>
      <c r="Y466" s="1"/>
      <c r="Z466" s="1">
        <v>49.9</v>
      </c>
      <c r="AA466" s="1"/>
      <c r="AB466" s="1"/>
      <c r="AC466" s="1"/>
      <c r="AD466" s="1">
        <v>2.52</v>
      </c>
      <c r="AE466" s="22" t="s">
        <v>66</v>
      </c>
      <c r="AF466" s="22"/>
    </row>
    <row r="467" spans="1:32" x14ac:dyDescent="0.2">
      <c r="A467" s="1">
        <v>649</v>
      </c>
      <c r="B467" s="1"/>
      <c r="D467" s="1" t="s">
        <v>4</v>
      </c>
      <c r="E467" s="1" t="s">
        <v>25</v>
      </c>
      <c r="F467" s="1">
        <v>0.5</v>
      </c>
      <c r="G467" s="1">
        <v>0</v>
      </c>
      <c r="H467" s="1">
        <v>0.8</v>
      </c>
      <c r="I467" s="1">
        <f t="shared" si="35"/>
        <v>0.5</v>
      </c>
      <c r="J467" s="1"/>
      <c r="K467" s="1"/>
      <c r="L467" s="1"/>
      <c r="M467" s="1"/>
      <c r="N467" s="1"/>
      <c r="O467" s="1">
        <v>21</v>
      </c>
      <c r="P467" s="15">
        <v>0</v>
      </c>
      <c r="Q467" s="1" t="s">
        <v>33</v>
      </c>
      <c r="R467" s="20" t="str">
        <f t="shared" si="34"/>
        <v>horizontal</v>
      </c>
      <c r="S467" s="19">
        <v>0</v>
      </c>
      <c r="T467" s="19">
        <v>0</v>
      </c>
      <c r="U467" s="19">
        <v>0</v>
      </c>
      <c r="V467" s="20">
        <v>0</v>
      </c>
      <c r="W467" s="20">
        <v>-1</v>
      </c>
      <c r="Y467" s="1"/>
      <c r="Z467" s="1">
        <v>60</v>
      </c>
      <c r="AA467" s="1"/>
      <c r="AB467" s="1"/>
      <c r="AC467" s="1"/>
      <c r="AD467" s="1">
        <v>2.48</v>
      </c>
      <c r="AE467" s="22" t="s">
        <v>66</v>
      </c>
      <c r="AF467" s="22"/>
    </row>
    <row r="468" spans="1:32" x14ac:dyDescent="0.2">
      <c r="A468" s="1">
        <v>650</v>
      </c>
      <c r="B468" s="1"/>
      <c r="D468" s="1" t="s">
        <v>4</v>
      </c>
      <c r="E468" s="1" t="s">
        <v>25</v>
      </c>
      <c r="F468" s="1">
        <v>0.5</v>
      </c>
      <c r="G468" s="1">
        <v>0</v>
      </c>
      <c r="H468" s="1">
        <v>0.8</v>
      </c>
      <c r="I468" s="1">
        <f t="shared" si="35"/>
        <v>0.5</v>
      </c>
      <c r="J468" s="1"/>
      <c r="K468" s="1"/>
      <c r="L468" s="1"/>
      <c r="M468" s="1"/>
      <c r="N468" s="1"/>
      <c r="O468" s="1">
        <v>21</v>
      </c>
      <c r="P468" s="15">
        <v>0</v>
      </c>
      <c r="Q468" s="1" t="s">
        <v>33</v>
      </c>
      <c r="R468" s="20" t="str">
        <f t="shared" si="34"/>
        <v>horizontal</v>
      </c>
      <c r="S468" s="19">
        <v>0</v>
      </c>
      <c r="T468" s="19">
        <v>0</v>
      </c>
      <c r="U468" s="19">
        <v>0</v>
      </c>
      <c r="V468" s="20">
        <v>0</v>
      </c>
      <c r="W468" s="20">
        <v>-1</v>
      </c>
      <c r="Y468" s="1"/>
      <c r="Z468" s="1">
        <v>69.900000000000006</v>
      </c>
      <c r="AA468" s="1"/>
      <c r="AB468" s="1"/>
      <c r="AC468" s="1"/>
      <c r="AD468" s="1">
        <v>2.69</v>
      </c>
      <c r="AE468" s="22" t="s">
        <v>66</v>
      </c>
      <c r="AF468" s="22"/>
    </row>
    <row r="469" spans="1:32" x14ac:dyDescent="0.2">
      <c r="A469" s="1">
        <v>651</v>
      </c>
      <c r="B469" s="1"/>
      <c r="D469" s="1" t="s">
        <v>4</v>
      </c>
      <c r="E469" s="1" t="s">
        <v>25</v>
      </c>
      <c r="F469" s="1">
        <v>0.5</v>
      </c>
      <c r="G469" s="1">
        <v>0</v>
      </c>
      <c r="H469" s="1">
        <v>0.8</v>
      </c>
      <c r="I469" s="1">
        <f t="shared" si="35"/>
        <v>0.5</v>
      </c>
      <c r="J469" s="1"/>
      <c r="K469" s="1"/>
      <c r="L469" s="1"/>
      <c r="M469" s="1"/>
      <c r="N469" s="1"/>
      <c r="O469" s="1">
        <v>21</v>
      </c>
      <c r="P469" s="15">
        <v>0</v>
      </c>
      <c r="Q469" s="1" t="s">
        <v>33</v>
      </c>
      <c r="R469" s="20" t="str">
        <f t="shared" si="34"/>
        <v>horizontal</v>
      </c>
      <c r="S469" s="19">
        <v>0</v>
      </c>
      <c r="T469" s="19">
        <v>0</v>
      </c>
      <c r="U469" s="19">
        <v>0</v>
      </c>
      <c r="V469" s="20">
        <v>0</v>
      </c>
      <c r="W469" s="20">
        <v>-1</v>
      </c>
      <c r="Y469" s="1"/>
      <c r="Z469" s="1">
        <v>79.900000000000006</v>
      </c>
      <c r="AA469" s="1"/>
      <c r="AB469" s="1"/>
      <c r="AC469" s="1"/>
      <c r="AD469" s="1">
        <v>2.76</v>
      </c>
      <c r="AE469" s="22" t="s">
        <v>66</v>
      </c>
      <c r="AF469" s="22"/>
    </row>
    <row r="470" spans="1:32" x14ac:dyDescent="0.2">
      <c r="A470" s="1">
        <v>652</v>
      </c>
      <c r="B470" s="1"/>
      <c r="D470" s="1" t="s">
        <v>4</v>
      </c>
      <c r="E470" s="1" t="s">
        <v>25</v>
      </c>
      <c r="F470" s="1">
        <v>0.5</v>
      </c>
      <c r="G470" s="1">
        <v>0</v>
      </c>
      <c r="H470" s="1">
        <v>0.8</v>
      </c>
      <c r="I470" s="1">
        <f t="shared" si="35"/>
        <v>0.5</v>
      </c>
      <c r="J470" s="1"/>
      <c r="K470" s="1"/>
      <c r="L470" s="1"/>
      <c r="M470" s="1"/>
      <c r="N470" s="1"/>
      <c r="O470" s="1">
        <v>21</v>
      </c>
      <c r="P470" s="15">
        <v>0</v>
      </c>
      <c r="Q470" s="1" t="s">
        <v>33</v>
      </c>
      <c r="R470" s="20" t="str">
        <f t="shared" si="34"/>
        <v>horizontal</v>
      </c>
      <c r="S470" s="19">
        <v>0</v>
      </c>
      <c r="T470" s="19">
        <v>0</v>
      </c>
      <c r="U470" s="19">
        <v>0</v>
      </c>
      <c r="V470" s="20">
        <v>0</v>
      </c>
      <c r="W470" s="20">
        <v>-1</v>
      </c>
      <c r="Y470" s="1"/>
      <c r="Z470" s="1">
        <v>89.9</v>
      </c>
      <c r="AA470" s="1"/>
      <c r="AB470" s="1"/>
      <c r="AC470" s="1"/>
      <c r="AD470" s="1">
        <v>2.82</v>
      </c>
      <c r="AE470" s="22" t="s">
        <v>66</v>
      </c>
      <c r="AF470" s="22"/>
    </row>
    <row r="471" spans="1:32" x14ac:dyDescent="0.2">
      <c r="A471" s="1">
        <v>653</v>
      </c>
      <c r="B471" s="1"/>
      <c r="D471" s="1" t="s">
        <v>4</v>
      </c>
      <c r="E471" s="1" t="s">
        <v>25</v>
      </c>
      <c r="F471" s="1">
        <v>0.5</v>
      </c>
      <c r="G471" s="1">
        <v>0</v>
      </c>
      <c r="H471" s="1">
        <v>0.8</v>
      </c>
      <c r="I471" s="1">
        <f t="shared" si="35"/>
        <v>0.5</v>
      </c>
      <c r="J471" s="1"/>
      <c r="K471" s="1"/>
      <c r="L471" s="1"/>
      <c r="M471" s="1"/>
      <c r="N471" s="1"/>
      <c r="O471" s="1">
        <v>21</v>
      </c>
      <c r="P471" s="15">
        <v>0</v>
      </c>
      <c r="Q471" s="1" t="s">
        <v>33</v>
      </c>
      <c r="R471" s="20" t="str">
        <f t="shared" si="34"/>
        <v>horizontal</v>
      </c>
      <c r="S471" s="19">
        <v>0</v>
      </c>
      <c r="T471" s="19">
        <v>0</v>
      </c>
      <c r="U471" s="19">
        <v>0</v>
      </c>
      <c r="V471" s="20">
        <v>0</v>
      </c>
      <c r="W471" s="20">
        <v>-1</v>
      </c>
      <c r="Y471" s="1"/>
      <c r="Z471" s="1">
        <v>99</v>
      </c>
      <c r="AA471" s="1"/>
      <c r="AB471" s="1"/>
      <c r="AC471" s="1"/>
      <c r="AD471" s="1">
        <v>2.85</v>
      </c>
      <c r="AE471" s="22" t="s">
        <v>66</v>
      </c>
      <c r="AF471" s="22"/>
    </row>
    <row r="472" spans="1:32" x14ac:dyDescent="0.2">
      <c r="A472" s="1">
        <v>654</v>
      </c>
      <c r="B472" s="1"/>
      <c r="D472" s="1" t="s">
        <v>4</v>
      </c>
      <c r="E472" s="1" t="s">
        <v>25</v>
      </c>
      <c r="F472" s="1">
        <v>0.8</v>
      </c>
      <c r="G472" s="1">
        <v>0</v>
      </c>
      <c r="H472" s="1">
        <v>1.1000000000000001</v>
      </c>
      <c r="I472" s="1">
        <f t="shared" si="35"/>
        <v>0.8</v>
      </c>
      <c r="J472" s="1"/>
      <c r="K472" s="1"/>
      <c r="L472" s="1"/>
      <c r="M472" s="1"/>
      <c r="N472" s="1"/>
      <c r="O472" s="1">
        <v>21</v>
      </c>
      <c r="P472" s="15">
        <v>0</v>
      </c>
      <c r="Q472" s="1" t="s">
        <v>33</v>
      </c>
      <c r="R472" s="20" t="str">
        <f t="shared" si="34"/>
        <v>horizontal</v>
      </c>
      <c r="S472" s="19">
        <v>0</v>
      </c>
      <c r="T472" s="19">
        <v>0</v>
      </c>
      <c r="U472" s="19">
        <v>0</v>
      </c>
      <c r="V472" s="20">
        <v>0</v>
      </c>
      <c r="W472" s="20">
        <v>-1</v>
      </c>
      <c r="Y472" s="1"/>
      <c r="Z472" s="1">
        <v>49.9</v>
      </c>
      <c r="AA472" s="1"/>
      <c r="AB472" s="1"/>
      <c r="AC472" s="1"/>
      <c r="AD472" s="1">
        <v>1.95</v>
      </c>
      <c r="AE472" s="22" t="s">
        <v>66</v>
      </c>
      <c r="AF472" s="22"/>
    </row>
    <row r="473" spans="1:32" x14ac:dyDescent="0.2">
      <c r="A473" s="1">
        <v>655</v>
      </c>
      <c r="B473" s="1"/>
      <c r="D473" s="1" t="s">
        <v>4</v>
      </c>
      <c r="E473" s="1" t="s">
        <v>25</v>
      </c>
      <c r="F473" s="1">
        <v>0.8</v>
      </c>
      <c r="G473" s="1">
        <v>0</v>
      </c>
      <c r="H473" s="1">
        <v>1.1000000000000001</v>
      </c>
      <c r="I473" s="1">
        <f t="shared" si="35"/>
        <v>0.8</v>
      </c>
      <c r="J473" s="1"/>
      <c r="K473" s="1"/>
      <c r="L473" s="1"/>
      <c r="M473" s="1"/>
      <c r="N473" s="1"/>
      <c r="O473" s="1">
        <v>21</v>
      </c>
      <c r="P473" s="15">
        <v>0</v>
      </c>
      <c r="Q473" s="1" t="s">
        <v>33</v>
      </c>
      <c r="R473" s="20" t="str">
        <f t="shared" si="34"/>
        <v>horizontal</v>
      </c>
      <c r="S473" s="19">
        <v>0</v>
      </c>
      <c r="T473" s="19">
        <v>0</v>
      </c>
      <c r="U473" s="19">
        <v>0</v>
      </c>
      <c r="V473" s="20">
        <v>0</v>
      </c>
      <c r="W473" s="20">
        <v>-1</v>
      </c>
      <c r="Y473" s="1"/>
      <c r="Z473" s="1">
        <v>60</v>
      </c>
      <c r="AA473" s="1"/>
      <c r="AB473" s="1"/>
      <c r="AC473" s="1"/>
      <c r="AD473" s="1">
        <v>1.99</v>
      </c>
      <c r="AE473" s="22" t="s">
        <v>66</v>
      </c>
      <c r="AF473" s="22"/>
    </row>
    <row r="474" spans="1:32" x14ac:dyDescent="0.2">
      <c r="A474" s="1">
        <v>656</v>
      </c>
      <c r="B474" s="1"/>
      <c r="D474" s="1" t="s">
        <v>4</v>
      </c>
      <c r="E474" s="1" t="s">
        <v>25</v>
      </c>
      <c r="F474" s="1">
        <v>0.8</v>
      </c>
      <c r="G474" s="1">
        <v>0</v>
      </c>
      <c r="H474" s="1">
        <v>1.1000000000000001</v>
      </c>
      <c r="I474" s="1">
        <f t="shared" si="35"/>
        <v>0.8</v>
      </c>
      <c r="J474" s="1"/>
      <c r="K474" s="1"/>
      <c r="L474" s="1"/>
      <c r="M474" s="1"/>
      <c r="N474" s="1"/>
      <c r="O474" s="1">
        <v>21</v>
      </c>
      <c r="P474" s="15">
        <v>0</v>
      </c>
      <c r="Q474" s="1" t="s">
        <v>33</v>
      </c>
      <c r="R474" s="20" t="str">
        <f t="shared" si="34"/>
        <v>horizontal</v>
      </c>
      <c r="S474" s="19">
        <v>0</v>
      </c>
      <c r="T474" s="19">
        <v>0</v>
      </c>
      <c r="U474" s="19">
        <v>0</v>
      </c>
      <c r="V474" s="20">
        <v>0</v>
      </c>
      <c r="W474" s="20">
        <v>-1</v>
      </c>
      <c r="Y474" s="1"/>
      <c r="Z474" s="1">
        <v>69.900000000000006</v>
      </c>
      <c r="AA474" s="1"/>
      <c r="AB474" s="1"/>
      <c r="AC474" s="1"/>
      <c r="AD474" s="1">
        <v>2.02</v>
      </c>
      <c r="AE474" s="22" t="s">
        <v>66</v>
      </c>
      <c r="AF474" s="22"/>
    </row>
    <row r="475" spans="1:32" x14ac:dyDescent="0.2">
      <c r="A475" s="1">
        <v>657</v>
      </c>
      <c r="B475" s="1"/>
      <c r="D475" s="1" t="s">
        <v>4</v>
      </c>
      <c r="E475" s="1" t="s">
        <v>25</v>
      </c>
      <c r="F475" s="1">
        <v>0.8</v>
      </c>
      <c r="G475" s="1">
        <v>0</v>
      </c>
      <c r="H475" s="1">
        <v>1.1000000000000001</v>
      </c>
      <c r="I475" s="1">
        <f t="shared" si="35"/>
        <v>0.8</v>
      </c>
      <c r="J475" s="1"/>
      <c r="K475" s="1"/>
      <c r="L475" s="1"/>
      <c r="M475" s="1"/>
      <c r="N475" s="1"/>
      <c r="O475" s="1">
        <v>21</v>
      </c>
      <c r="P475" s="15">
        <v>0</v>
      </c>
      <c r="Q475" s="1" t="s">
        <v>33</v>
      </c>
      <c r="R475" s="20" t="str">
        <f t="shared" si="34"/>
        <v>horizontal</v>
      </c>
      <c r="S475" s="19">
        <v>0</v>
      </c>
      <c r="T475" s="19">
        <v>0</v>
      </c>
      <c r="U475" s="19">
        <v>0</v>
      </c>
      <c r="V475" s="20">
        <v>0</v>
      </c>
      <c r="W475" s="20">
        <v>-1</v>
      </c>
      <c r="Y475" s="1"/>
      <c r="Z475" s="1">
        <v>79.900000000000006</v>
      </c>
      <c r="AA475" s="1"/>
      <c r="AB475" s="1"/>
      <c r="AC475" s="1"/>
      <c r="AD475" s="1">
        <v>2.1</v>
      </c>
      <c r="AE475" s="22" t="s">
        <v>66</v>
      </c>
      <c r="AF475" s="22"/>
    </row>
    <row r="476" spans="1:32" x14ac:dyDescent="0.2">
      <c r="A476" s="1">
        <v>658</v>
      </c>
      <c r="B476" s="1"/>
      <c r="D476" s="1" t="s">
        <v>4</v>
      </c>
      <c r="E476" s="1" t="s">
        <v>25</v>
      </c>
      <c r="F476" s="1">
        <v>0.8</v>
      </c>
      <c r="G476" s="1">
        <v>0</v>
      </c>
      <c r="H476" s="1">
        <v>1.1000000000000001</v>
      </c>
      <c r="I476" s="1">
        <f t="shared" si="35"/>
        <v>0.8</v>
      </c>
      <c r="J476" s="1"/>
      <c r="K476" s="1"/>
      <c r="L476" s="1"/>
      <c r="M476" s="1"/>
      <c r="N476" s="1"/>
      <c r="O476" s="1">
        <v>21</v>
      </c>
      <c r="P476" s="15">
        <v>0</v>
      </c>
      <c r="Q476" s="1" t="s">
        <v>33</v>
      </c>
      <c r="R476" s="20" t="str">
        <f t="shared" si="34"/>
        <v>horizontal</v>
      </c>
      <c r="S476" s="19">
        <v>0</v>
      </c>
      <c r="T476" s="19">
        <v>0</v>
      </c>
      <c r="U476" s="19">
        <v>0</v>
      </c>
      <c r="V476" s="20">
        <v>0</v>
      </c>
      <c r="W476" s="20">
        <v>-1</v>
      </c>
      <c r="Y476" s="1"/>
      <c r="Z476" s="1">
        <v>90</v>
      </c>
      <c r="AA476" s="1"/>
      <c r="AB476" s="1"/>
      <c r="AC476" s="1"/>
      <c r="AD476" s="1">
        <v>2.13</v>
      </c>
      <c r="AE476" s="22" t="s">
        <v>66</v>
      </c>
      <c r="AF476" s="22"/>
    </row>
    <row r="477" spans="1:32" x14ac:dyDescent="0.2">
      <c r="A477" s="1">
        <v>659</v>
      </c>
      <c r="B477" s="1"/>
      <c r="D477" s="1" t="s">
        <v>4</v>
      </c>
      <c r="E477" s="1" t="s">
        <v>25</v>
      </c>
      <c r="F477" s="1">
        <v>0.8</v>
      </c>
      <c r="G477" s="1">
        <v>0</v>
      </c>
      <c r="H477" s="1">
        <v>1.1000000000000001</v>
      </c>
      <c r="I477" s="1">
        <f t="shared" si="35"/>
        <v>0.8</v>
      </c>
      <c r="J477" s="1"/>
      <c r="K477" s="1"/>
      <c r="L477" s="1"/>
      <c r="M477" s="1"/>
      <c r="N477" s="1"/>
      <c r="O477" s="1">
        <v>21</v>
      </c>
      <c r="P477" s="15">
        <v>0</v>
      </c>
      <c r="Q477" s="1" t="s">
        <v>33</v>
      </c>
      <c r="R477" s="20" t="str">
        <f t="shared" si="34"/>
        <v>horizontal</v>
      </c>
      <c r="S477" s="19">
        <v>0</v>
      </c>
      <c r="T477" s="19">
        <v>0</v>
      </c>
      <c r="U477" s="19">
        <v>0</v>
      </c>
      <c r="V477" s="20">
        <v>0</v>
      </c>
      <c r="W477" s="20">
        <v>-1</v>
      </c>
      <c r="Y477" s="1"/>
      <c r="Z477" s="1">
        <v>98.6</v>
      </c>
      <c r="AA477" s="1"/>
      <c r="AB477" s="1"/>
      <c r="AC477" s="1"/>
      <c r="AD477" s="1">
        <v>2.2599999999999998</v>
      </c>
      <c r="AE477" s="22" t="s">
        <v>66</v>
      </c>
      <c r="AF477" s="22"/>
    </row>
    <row r="478" spans="1:32" x14ac:dyDescent="0.2">
      <c r="A478" s="1">
        <v>660</v>
      </c>
      <c r="B478" s="1"/>
      <c r="D478" s="1" t="s">
        <v>4</v>
      </c>
      <c r="E478" s="1" t="s">
        <v>25</v>
      </c>
      <c r="F478" s="1">
        <v>0.5</v>
      </c>
      <c r="G478" s="1">
        <v>0</v>
      </c>
      <c r="H478" s="1">
        <v>0.9</v>
      </c>
      <c r="I478" s="1">
        <f t="shared" si="35"/>
        <v>0.5</v>
      </c>
      <c r="J478" s="1"/>
      <c r="K478" s="1"/>
      <c r="L478" s="1"/>
      <c r="M478" s="1"/>
      <c r="N478" s="1"/>
      <c r="O478" s="1">
        <v>21</v>
      </c>
      <c r="P478" s="15">
        <v>0</v>
      </c>
      <c r="Q478" s="1" t="s">
        <v>33</v>
      </c>
      <c r="R478" s="20" t="str">
        <f t="shared" si="34"/>
        <v>horizontal</v>
      </c>
      <c r="S478" s="19">
        <v>0</v>
      </c>
      <c r="T478" s="19">
        <v>0</v>
      </c>
      <c r="U478" s="19">
        <v>0</v>
      </c>
      <c r="V478" s="20">
        <v>0</v>
      </c>
      <c r="W478" s="20">
        <v>-1</v>
      </c>
      <c r="Y478" s="1"/>
      <c r="Z478" s="1">
        <v>44.9</v>
      </c>
      <c r="AA478" s="1"/>
      <c r="AB478" s="1"/>
      <c r="AC478" s="1"/>
      <c r="AD478" s="1">
        <v>2.25</v>
      </c>
      <c r="AE478" s="22" t="s">
        <v>66</v>
      </c>
      <c r="AF478" s="22"/>
    </row>
    <row r="479" spans="1:32" x14ac:dyDescent="0.2">
      <c r="A479" s="1">
        <v>661</v>
      </c>
      <c r="B479" s="1"/>
      <c r="D479" s="1" t="s">
        <v>4</v>
      </c>
      <c r="E479" s="1" t="s">
        <v>25</v>
      </c>
      <c r="F479" s="1">
        <v>0.5</v>
      </c>
      <c r="G479" s="1">
        <v>0</v>
      </c>
      <c r="H479" s="1">
        <v>0.9</v>
      </c>
      <c r="I479" s="1">
        <f t="shared" si="35"/>
        <v>0.5</v>
      </c>
      <c r="J479" s="1"/>
      <c r="K479" s="1"/>
      <c r="L479" s="1"/>
      <c r="M479" s="1"/>
      <c r="N479" s="1"/>
      <c r="O479" s="1">
        <v>21</v>
      </c>
      <c r="P479" s="15">
        <v>0</v>
      </c>
      <c r="Q479" s="1" t="s">
        <v>33</v>
      </c>
      <c r="R479" s="20" t="str">
        <f t="shared" si="34"/>
        <v>horizontal</v>
      </c>
      <c r="S479" s="19">
        <v>0</v>
      </c>
      <c r="T479" s="19">
        <v>0</v>
      </c>
      <c r="U479" s="19">
        <v>0</v>
      </c>
      <c r="V479" s="20">
        <v>0</v>
      </c>
      <c r="W479" s="20">
        <v>-1</v>
      </c>
      <c r="Y479" s="1"/>
      <c r="Z479" s="1">
        <v>50</v>
      </c>
      <c r="AA479" s="1"/>
      <c r="AB479" s="1"/>
      <c r="AC479" s="1"/>
      <c r="AD479" s="1">
        <v>2.17</v>
      </c>
      <c r="AE479" s="22" t="s">
        <v>66</v>
      </c>
      <c r="AF479" s="22"/>
    </row>
    <row r="480" spans="1:32" x14ac:dyDescent="0.2">
      <c r="A480" s="1">
        <v>662</v>
      </c>
      <c r="B480" s="1"/>
      <c r="D480" s="1" t="s">
        <v>4</v>
      </c>
      <c r="E480" s="1" t="s">
        <v>25</v>
      </c>
      <c r="F480" s="1">
        <v>0.5</v>
      </c>
      <c r="G480" s="1">
        <v>0</v>
      </c>
      <c r="H480" s="1">
        <v>0.9</v>
      </c>
      <c r="I480" s="1">
        <f t="shared" si="35"/>
        <v>0.5</v>
      </c>
      <c r="J480" s="1"/>
      <c r="K480" s="1"/>
      <c r="L480" s="1"/>
      <c r="M480" s="1"/>
      <c r="N480" s="1"/>
      <c r="O480" s="1">
        <v>21</v>
      </c>
      <c r="P480" s="15">
        <v>0</v>
      </c>
      <c r="Q480" s="1" t="s">
        <v>33</v>
      </c>
      <c r="R480" s="20" t="str">
        <f t="shared" si="34"/>
        <v>horizontal</v>
      </c>
      <c r="S480" s="19">
        <v>0</v>
      </c>
      <c r="T480" s="19">
        <v>0</v>
      </c>
      <c r="U480" s="19">
        <v>0</v>
      </c>
      <c r="V480" s="20">
        <v>0</v>
      </c>
      <c r="W480" s="20">
        <v>-1</v>
      </c>
      <c r="Y480" s="1"/>
      <c r="Z480" s="1">
        <v>60</v>
      </c>
      <c r="AA480" s="1"/>
      <c r="AB480" s="1"/>
      <c r="AC480" s="1"/>
      <c r="AD480" s="1">
        <v>2.12</v>
      </c>
      <c r="AE480" s="22" t="s">
        <v>66</v>
      </c>
      <c r="AF480" s="22"/>
    </row>
    <row r="481" spans="1:32" x14ac:dyDescent="0.2">
      <c r="A481" s="1">
        <v>663</v>
      </c>
      <c r="B481" s="1"/>
      <c r="D481" s="1" t="s">
        <v>4</v>
      </c>
      <c r="E481" s="1" t="s">
        <v>25</v>
      </c>
      <c r="F481" s="1">
        <v>0.5</v>
      </c>
      <c r="G481" s="1">
        <v>0</v>
      </c>
      <c r="H481" s="1">
        <v>0.9</v>
      </c>
      <c r="I481" s="1">
        <f t="shared" si="35"/>
        <v>0.5</v>
      </c>
      <c r="J481" s="1"/>
      <c r="K481" s="1"/>
      <c r="L481" s="1"/>
      <c r="M481" s="1"/>
      <c r="N481" s="1"/>
      <c r="O481" s="1">
        <v>21</v>
      </c>
      <c r="P481" s="15">
        <v>0</v>
      </c>
      <c r="Q481" s="1" t="s">
        <v>33</v>
      </c>
      <c r="R481" s="20" t="str">
        <f t="shared" si="34"/>
        <v>horizontal</v>
      </c>
      <c r="S481" s="19">
        <v>0</v>
      </c>
      <c r="T481" s="19">
        <v>0</v>
      </c>
      <c r="U481" s="19">
        <v>0</v>
      </c>
      <c r="V481" s="20">
        <v>0</v>
      </c>
      <c r="W481" s="20">
        <v>-1</v>
      </c>
      <c r="Y481" s="1"/>
      <c r="Z481" s="1">
        <v>69.900000000000006</v>
      </c>
      <c r="AA481" s="1"/>
      <c r="AB481" s="1"/>
      <c r="AC481" s="1"/>
      <c r="AD481" s="1">
        <v>2.08</v>
      </c>
      <c r="AE481" s="22" t="s">
        <v>66</v>
      </c>
      <c r="AF481" s="22"/>
    </row>
    <row r="482" spans="1:32" x14ac:dyDescent="0.2">
      <c r="A482" s="1">
        <v>664</v>
      </c>
      <c r="B482" s="1"/>
      <c r="D482" s="1" t="s">
        <v>4</v>
      </c>
      <c r="E482" s="1" t="s">
        <v>25</v>
      </c>
      <c r="F482" s="1">
        <v>0.5</v>
      </c>
      <c r="G482" s="1">
        <v>0</v>
      </c>
      <c r="H482" s="1">
        <v>0.9</v>
      </c>
      <c r="I482" s="1">
        <f t="shared" si="35"/>
        <v>0.5</v>
      </c>
      <c r="J482" s="1"/>
      <c r="K482" s="1"/>
      <c r="L482" s="1"/>
      <c r="M482" s="1"/>
      <c r="N482" s="1"/>
      <c r="O482" s="1">
        <v>21</v>
      </c>
      <c r="P482" s="15">
        <v>0</v>
      </c>
      <c r="Q482" s="1" t="s">
        <v>33</v>
      </c>
      <c r="R482" s="20" t="str">
        <f t="shared" si="34"/>
        <v>horizontal</v>
      </c>
      <c r="S482" s="19">
        <v>0</v>
      </c>
      <c r="T482" s="19">
        <v>0</v>
      </c>
      <c r="U482" s="19">
        <v>0</v>
      </c>
      <c r="V482" s="20">
        <v>0</v>
      </c>
      <c r="W482" s="20">
        <v>-1</v>
      </c>
      <c r="Y482" s="1"/>
      <c r="Z482" s="1">
        <v>80</v>
      </c>
      <c r="AA482" s="1"/>
      <c r="AB482" s="1"/>
      <c r="AC482" s="1"/>
      <c r="AD482" s="1">
        <v>2.21</v>
      </c>
      <c r="AE482" s="22" t="s">
        <v>66</v>
      </c>
      <c r="AF482" s="22"/>
    </row>
    <row r="483" spans="1:32" x14ac:dyDescent="0.2">
      <c r="A483" s="1">
        <v>665</v>
      </c>
      <c r="B483" s="1"/>
      <c r="D483" s="1" t="s">
        <v>4</v>
      </c>
      <c r="E483" s="1" t="s">
        <v>25</v>
      </c>
      <c r="F483" s="1">
        <v>0.5</v>
      </c>
      <c r="G483" s="1">
        <v>0</v>
      </c>
      <c r="H483" s="1">
        <v>0.9</v>
      </c>
      <c r="I483" s="1">
        <f t="shared" si="35"/>
        <v>0.5</v>
      </c>
      <c r="J483" s="1"/>
      <c r="K483" s="1"/>
      <c r="L483" s="1"/>
      <c r="M483" s="1"/>
      <c r="N483" s="1"/>
      <c r="O483" s="1">
        <v>21</v>
      </c>
      <c r="P483" s="15">
        <v>0</v>
      </c>
      <c r="Q483" s="1" t="s">
        <v>33</v>
      </c>
      <c r="R483" s="20" t="str">
        <f t="shared" si="34"/>
        <v>horizontal</v>
      </c>
      <c r="S483" s="19">
        <v>0</v>
      </c>
      <c r="T483" s="19">
        <v>0</v>
      </c>
      <c r="U483" s="19">
        <v>0</v>
      </c>
      <c r="V483" s="20">
        <v>0</v>
      </c>
      <c r="W483" s="20">
        <v>-1</v>
      </c>
      <c r="Y483" s="1"/>
      <c r="Z483" s="1">
        <v>90</v>
      </c>
      <c r="AA483" s="1"/>
      <c r="AB483" s="1"/>
      <c r="AC483" s="1"/>
      <c r="AD483" s="1">
        <v>2.34</v>
      </c>
      <c r="AE483" s="22" t="s">
        <v>66</v>
      </c>
      <c r="AF483" s="22"/>
    </row>
    <row r="484" spans="1:32" x14ac:dyDescent="0.2">
      <c r="A484" s="1">
        <v>666</v>
      </c>
      <c r="B484" s="1"/>
      <c r="D484" s="1" t="s">
        <v>4</v>
      </c>
      <c r="E484" s="1" t="s">
        <v>25</v>
      </c>
      <c r="F484" s="1">
        <v>0.5</v>
      </c>
      <c r="G484" s="1">
        <v>0</v>
      </c>
      <c r="H484" s="1">
        <v>0.9</v>
      </c>
      <c r="I484" s="1">
        <f t="shared" si="35"/>
        <v>0.5</v>
      </c>
      <c r="J484" s="1"/>
      <c r="K484" s="1"/>
      <c r="L484" s="1"/>
      <c r="M484" s="1"/>
      <c r="N484" s="1"/>
      <c r="O484" s="1">
        <v>21</v>
      </c>
      <c r="P484" s="15">
        <v>0</v>
      </c>
      <c r="Q484" s="1" t="s">
        <v>33</v>
      </c>
      <c r="R484" s="20" t="str">
        <f t="shared" si="34"/>
        <v>horizontal</v>
      </c>
      <c r="S484" s="19">
        <v>0</v>
      </c>
      <c r="T484" s="19">
        <v>0</v>
      </c>
      <c r="U484" s="19">
        <v>0</v>
      </c>
      <c r="V484" s="20">
        <v>0</v>
      </c>
      <c r="W484" s="20">
        <v>-1</v>
      </c>
      <c r="Y484" s="1"/>
      <c r="Z484" s="1">
        <v>98.7</v>
      </c>
      <c r="AA484" s="1"/>
      <c r="AB484" s="1"/>
      <c r="AC484" s="1"/>
      <c r="AD484" s="1">
        <v>2.4300000000000002</v>
      </c>
      <c r="AE484" s="22" t="s">
        <v>66</v>
      </c>
      <c r="AF484" s="22"/>
    </row>
    <row r="485" spans="1:32" x14ac:dyDescent="0.2">
      <c r="A485" s="1">
        <v>667</v>
      </c>
      <c r="B485" s="1"/>
      <c r="D485" s="1" t="s">
        <v>9</v>
      </c>
      <c r="E485" s="1" t="s">
        <v>25</v>
      </c>
      <c r="F485" s="1">
        <v>0.3</v>
      </c>
      <c r="G485" s="1">
        <v>0</v>
      </c>
      <c r="H485" s="1">
        <v>0.6</v>
      </c>
      <c r="I485" s="1">
        <f t="shared" si="35"/>
        <v>0.3</v>
      </c>
      <c r="J485" s="1"/>
      <c r="K485" s="1"/>
      <c r="L485" s="1"/>
      <c r="M485" s="1"/>
      <c r="N485" s="1"/>
      <c r="O485" s="1">
        <v>21</v>
      </c>
      <c r="P485" s="15">
        <v>0</v>
      </c>
      <c r="Q485" s="1" t="s">
        <v>33</v>
      </c>
      <c r="R485" s="20" t="str">
        <f t="shared" si="34"/>
        <v>horizontal</v>
      </c>
      <c r="S485" s="19">
        <v>0</v>
      </c>
      <c r="T485" s="19">
        <v>0</v>
      </c>
      <c r="U485" s="19">
        <v>0</v>
      </c>
      <c r="V485" s="20">
        <v>0</v>
      </c>
      <c r="W485" s="20">
        <v>-1</v>
      </c>
      <c r="Y485" s="1"/>
      <c r="Z485" s="1">
        <v>50.1</v>
      </c>
      <c r="AA485" s="1"/>
      <c r="AB485" s="1"/>
      <c r="AC485" s="1"/>
      <c r="AD485" s="1">
        <v>3.27</v>
      </c>
      <c r="AE485" s="22" t="s">
        <v>66</v>
      </c>
      <c r="AF485" s="22"/>
    </row>
    <row r="486" spans="1:32" x14ac:dyDescent="0.2">
      <c r="A486" s="1">
        <v>668</v>
      </c>
      <c r="B486" s="1"/>
      <c r="D486" s="1" t="s">
        <v>9</v>
      </c>
      <c r="E486" s="1" t="s">
        <v>25</v>
      </c>
      <c r="F486" s="1">
        <v>0.3</v>
      </c>
      <c r="G486" s="1">
        <v>0</v>
      </c>
      <c r="H486" s="1">
        <v>0.6</v>
      </c>
      <c r="I486" s="1">
        <f t="shared" si="35"/>
        <v>0.3</v>
      </c>
      <c r="J486" s="1"/>
      <c r="K486" s="1"/>
      <c r="L486" s="1"/>
      <c r="M486" s="1"/>
      <c r="N486" s="1"/>
      <c r="O486" s="1">
        <v>21</v>
      </c>
      <c r="P486" s="15">
        <v>0</v>
      </c>
      <c r="Q486" s="1" t="s">
        <v>33</v>
      </c>
      <c r="R486" s="20" t="str">
        <f t="shared" si="34"/>
        <v>horizontal</v>
      </c>
      <c r="S486" s="19">
        <v>0</v>
      </c>
      <c r="T486" s="19">
        <v>0</v>
      </c>
      <c r="U486" s="19">
        <v>0</v>
      </c>
      <c r="V486" s="20">
        <v>0</v>
      </c>
      <c r="W486" s="20">
        <v>-1</v>
      </c>
      <c r="Y486" s="1"/>
      <c r="Z486" s="1">
        <v>60.1</v>
      </c>
      <c r="AA486" s="1"/>
      <c r="AB486" s="1"/>
      <c r="AC486" s="1"/>
      <c r="AD486" s="1">
        <v>3.18</v>
      </c>
      <c r="AE486" s="22" t="s">
        <v>66</v>
      </c>
      <c r="AF486" s="22"/>
    </row>
    <row r="487" spans="1:32" x14ac:dyDescent="0.2">
      <c r="A487" s="1">
        <v>669</v>
      </c>
      <c r="B487" s="1"/>
      <c r="D487" s="1" t="s">
        <v>9</v>
      </c>
      <c r="E487" s="1" t="s">
        <v>25</v>
      </c>
      <c r="F487" s="1">
        <v>0.3</v>
      </c>
      <c r="G487" s="1">
        <v>0</v>
      </c>
      <c r="H487" s="1">
        <v>0.6</v>
      </c>
      <c r="I487" s="1">
        <f t="shared" ref="I487:I497" si="36">F487</f>
        <v>0.3</v>
      </c>
      <c r="J487" s="1"/>
      <c r="K487" s="1"/>
      <c r="L487" s="1"/>
      <c r="M487" s="1"/>
      <c r="N487" s="1"/>
      <c r="O487" s="1">
        <v>21</v>
      </c>
      <c r="P487" s="15">
        <v>0</v>
      </c>
      <c r="Q487" s="1" t="s">
        <v>33</v>
      </c>
      <c r="R487" s="20" t="str">
        <f t="shared" si="34"/>
        <v>horizontal</v>
      </c>
      <c r="S487" s="19">
        <v>0</v>
      </c>
      <c r="T487" s="19">
        <v>0</v>
      </c>
      <c r="U487" s="19">
        <v>0</v>
      </c>
      <c r="V487" s="20">
        <v>0</v>
      </c>
      <c r="W487" s="20">
        <v>-1</v>
      </c>
      <c r="Y487" s="1"/>
      <c r="Z487" s="1">
        <v>70.099999999999994</v>
      </c>
      <c r="AA487" s="1"/>
      <c r="AB487" s="1"/>
      <c r="AC487" s="1"/>
      <c r="AD487" s="1">
        <v>3.25</v>
      </c>
      <c r="AE487" s="22" t="s">
        <v>66</v>
      </c>
      <c r="AF487" s="22"/>
    </row>
    <row r="488" spans="1:32" x14ac:dyDescent="0.2">
      <c r="A488" s="1">
        <v>670</v>
      </c>
      <c r="B488" s="1"/>
      <c r="D488" s="1" t="s">
        <v>9</v>
      </c>
      <c r="E488" s="1" t="s">
        <v>25</v>
      </c>
      <c r="F488" s="1">
        <v>0.3</v>
      </c>
      <c r="G488" s="1">
        <v>0</v>
      </c>
      <c r="H488" s="1">
        <v>0.6</v>
      </c>
      <c r="I488" s="1">
        <f t="shared" si="36"/>
        <v>0.3</v>
      </c>
      <c r="J488" s="1"/>
      <c r="K488" s="1"/>
      <c r="L488" s="1"/>
      <c r="M488" s="1"/>
      <c r="N488" s="1"/>
      <c r="O488" s="1">
        <v>21</v>
      </c>
      <c r="P488" s="15">
        <v>0</v>
      </c>
      <c r="Q488" s="1" t="s">
        <v>33</v>
      </c>
      <c r="R488" s="20" t="str">
        <f t="shared" si="34"/>
        <v>horizontal</v>
      </c>
      <c r="S488" s="19">
        <v>0</v>
      </c>
      <c r="T488" s="19">
        <v>0</v>
      </c>
      <c r="U488" s="19">
        <v>0</v>
      </c>
      <c r="V488" s="20">
        <v>0</v>
      </c>
      <c r="W488" s="20">
        <v>-1</v>
      </c>
      <c r="Y488" s="1"/>
      <c r="Z488" s="1">
        <v>80.2</v>
      </c>
      <c r="AA488" s="1"/>
      <c r="AB488" s="1"/>
      <c r="AC488" s="1"/>
      <c r="AD488" s="1">
        <v>3.17</v>
      </c>
      <c r="AE488" s="22" t="s">
        <v>66</v>
      </c>
      <c r="AF488" s="22"/>
    </row>
    <row r="489" spans="1:32" x14ac:dyDescent="0.2">
      <c r="A489" s="1">
        <v>671</v>
      </c>
      <c r="B489" s="1"/>
      <c r="D489" s="1" t="s">
        <v>9</v>
      </c>
      <c r="E489" s="1" t="s">
        <v>25</v>
      </c>
      <c r="F489" s="1">
        <v>0.3</v>
      </c>
      <c r="G489" s="1">
        <v>0</v>
      </c>
      <c r="H489" s="1">
        <v>0.6</v>
      </c>
      <c r="I489" s="1">
        <f t="shared" si="36"/>
        <v>0.3</v>
      </c>
      <c r="J489" s="1"/>
      <c r="K489" s="1"/>
      <c r="L489" s="1"/>
      <c r="M489" s="1"/>
      <c r="N489" s="1"/>
      <c r="O489" s="1">
        <v>21</v>
      </c>
      <c r="P489" s="15">
        <v>0</v>
      </c>
      <c r="Q489" s="1" t="s">
        <v>33</v>
      </c>
      <c r="R489" s="20" t="str">
        <f t="shared" si="34"/>
        <v>horizontal</v>
      </c>
      <c r="S489" s="19">
        <v>0</v>
      </c>
      <c r="T489" s="19">
        <v>0</v>
      </c>
      <c r="U489" s="19">
        <v>0</v>
      </c>
      <c r="V489" s="20">
        <v>0</v>
      </c>
      <c r="W489" s="20">
        <v>-1</v>
      </c>
      <c r="Y489" s="1"/>
      <c r="Z489" s="1">
        <v>90.2</v>
      </c>
      <c r="AA489" s="1"/>
      <c r="AB489" s="1"/>
      <c r="AC489" s="1"/>
      <c r="AD489" s="1">
        <v>3.1</v>
      </c>
      <c r="AE489" s="22" t="s">
        <v>66</v>
      </c>
      <c r="AF489" s="22"/>
    </row>
    <row r="490" spans="1:32" x14ac:dyDescent="0.2">
      <c r="A490" s="1">
        <v>672</v>
      </c>
      <c r="B490" s="1"/>
      <c r="D490" s="1" t="s">
        <v>9</v>
      </c>
      <c r="E490" s="1" t="s">
        <v>25</v>
      </c>
      <c r="F490" s="1">
        <v>0.3</v>
      </c>
      <c r="G490" s="1">
        <v>0</v>
      </c>
      <c r="H490" s="1">
        <v>0.6</v>
      </c>
      <c r="I490" s="1">
        <f t="shared" si="36"/>
        <v>0.3</v>
      </c>
      <c r="J490" s="1"/>
      <c r="K490" s="1"/>
      <c r="L490" s="1"/>
      <c r="M490" s="1"/>
      <c r="N490" s="1"/>
      <c r="O490" s="1">
        <v>21</v>
      </c>
      <c r="P490" s="15">
        <v>0</v>
      </c>
      <c r="Q490" s="1" t="s">
        <v>33</v>
      </c>
      <c r="R490" s="20" t="str">
        <f t="shared" si="34"/>
        <v>horizontal</v>
      </c>
      <c r="S490" s="19">
        <v>0</v>
      </c>
      <c r="T490" s="19">
        <v>0</v>
      </c>
      <c r="U490" s="19">
        <v>0</v>
      </c>
      <c r="V490" s="20">
        <v>0</v>
      </c>
      <c r="W490" s="20">
        <v>-1</v>
      </c>
      <c r="Y490" s="1"/>
      <c r="Z490" s="1">
        <v>98.6</v>
      </c>
      <c r="AA490" s="1"/>
      <c r="AB490" s="1"/>
      <c r="AC490" s="1"/>
      <c r="AD490" s="1">
        <v>3.09</v>
      </c>
      <c r="AE490" s="22" t="s">
        <v>66</v>
      </c>
      <c r="AF490" s="22"/>
    </row>
    <row r="491" spans="1:32" x14ac:dyDescent="0.2">
      <c r="A491" s="1">
        <v>673</v>
      </c>
      <c r="B491" s="1"/>
      <c r="D491" s="1" t="s">
        <v>9</v>
      </c>
      <c r="E491" s="1" t="s">
        <v>25</v>
      </c>
      <c r="F491" s="1">
        <v>0.5</v>
      </c>
      <c r="G491" s="1">
        <v>0</v>
      </c>
      <c r="H491" s="1">
        <v>0.8</v>
      </c>
      <c r="I491" s="1">
        <f t="shared" si="36"/>
        <v>0.5</v>
      </c>
      <c r="J491" s="1"/>
      <c r="K491" s="1"/>
      <c r="L491" s="1"/>
      <c r="M491" s="1"/>
      <c r="N491" s="1"/>
      <c r="O491" s="1">
        <v>21</v>
      </c>
      <c r="P491" s="15">
        <v>0</v>
      </c>
      <c r="Q491" s="1" t="s">
        <v>33</v>
      </c>
      <c r="R491" s="20" t="str">
        <f t="shared" si="34"/>
        <v>horizontal</v>
      </c>
      <c r="S491" s="19">
        <v>0</v>
      </c>
      <c r="T491" s="19">
        <v>0</v>
      </c>
      <c r="U491" s="19">
        <v>0</v>
      </c>
      <c r="V491" s="20">
        <v>0</v>
      </c>
      <c r="W491" s="20">
        <v>-1</v>
      </c>
      <c r="Y491" s="1"/>
      <c r="Z491" s="1">
        <v>45.1</v>
      </c>
      <c r="AA491" s="1"/>
      <c r="AB491" s="1"/>
      <c r="AC491" s="1"/>
      <c r="AD491" s="1">
        <v>2.4</v>
      </c>
      <c r="AE491" s="22" t="s">
        <v>66</v>
      </c>
      <c r="AF491" s="22"/>
    </row>
    <row r="492" spans="1:32" x14ac:dyDescent="0.2">
      <c r="A492" s="1">
        <v>674</v>
      </c>
      <c r="B492" s="1"/>
      <c r="D492" s="1" t="s">
        <v>9</v>
      </c>
      <c r="E492" s="1" t="s">
        <v>25</v>
      </c>
      <c r="F492" s="1">
        <v>0.5</v>
      </c>
      <c r="G492" s="1">
        <v>0</v>
      </c>
      <c r="H492" s="1">
        <v>0.8</v>
      </c>
      <c r="I492" s="1">
        <f t="shared" si="36"/>
        <v>0.5</v>
      </c>
      <c r="J492" s="1"/>
      <c r="K492" s="1"/>
      <c r="L492" s="1"/>
      <c r="M492" s="1"/>
      <c r="N492" s="1"/>
      <c r="O492" s="1">
        <v>21</v>
      </c>
      <c r="P492" s="15">
        <v>0</v>
      </c>
      <c r="Q492" s="1" t="s">
        <v>33</v>
      </c>
      <c r="R492" s="20" t="str">
        <f t="shared" si="34"/>
        <v>horizontal</v>
      </c>
      <c r="S492" s="19">
        <v>0</v>
      </c>
      <c r="T492" s="19">
        <v>0</v>
      </c>
      <c r="U492" s="19">
        <v>0</v>
      </c>
      <c r="V492" s="20">
        <v>0</v>
      </c>
      <c r="W492" s="20">
        <v>-1</v>
      </c>
      <c r="Y492" s="1"/>
      <c r="Z492" s="1">
        <v>50.1</v>
      </c>
      <c r="AA492" s="1"/>
      <c r="AB492" s="1"/>
      <c r="AC492" s="1"/>
      <c r="AD492" s="1">
        <v>2.35</v>
      </c>
      <c r="AE492" s="22" t="s">
        <v>66</v>
      </c>
      <c r="AF492" s="22"/>
    </row>
    <row r="493" spans="1:32" x14ac:dyDescent="0.2">
      <c r="A493" s="1">
        <v>675</v>
      </c>
      <c r="B493" s="1"/>
      <c r="D493" s="1" t="s">
        <v>9</v>
      </c>
      <c r="E493" s="1" t="s">
        <v>25</v>
      </c>
      <c r="F493" s="1">
        <v>0.5</v>
      </c>
      <c r="G493" s="1">
        <v>0</v>
      </c>
      <c r="H493" s="1">
        <v>0.8</v>
      </c>
      <c r="I493" s="1">
        <f t="shared" si="36"/>
        <v>0.5</v>
      </c>
      <c r="J493" s="1"/>
      <c r="K493" s="1"/>
      <c r="L493" s="1"/>
      <c r="M493" s="1"/>
      <c r="N493" s="1"/>
      <c r="O493" s="1">
        <v>21</v>
      </c>
      <c r="P493" s="15">
        <v>0</v>
      </c>
      <c r="Q493" s="1" t="s">
        <v>33</v>
      </c>
      <c r="R493" s="20" t="str">
        <f t="shared" si="34"/>
        <v>horizontal</v>
      </c>
      <c r="S493" s="19">
        <v>0</v>
      </c>
      <c r="T493" s="19">
        <v>0</v>
      </c>
      <c r="U493" s="19">
        <v>0</v>
      </c>
      <c r="V493" s="20">
        <v>0</v>
      </c>
      <c r="W493" s="20">
        <v>-1</v>
      </c>
      <c r="Y493" s="1"/>
      <c r="Z493" s="1">
        <v>60.1</v>
      </c>
      <c r="AA493" s="1"/>
      <c r="AB493" s="1"/>
      <c r="AC493" s="1"/>
      <c r="AD493" s="1">
        <v>2.34</v>
      </c>
      <c r="AE493" s="22" t="s">
        <v>66</v>
      </c>
      <c r="AF493" s="22"/>
    </row>
    <row r="494" spans="1:32" x14ac:dyDescent="0.2">
      <c r="A494" s="1">
        <v>676</v>
      </c>
      <c r="B494" s="1"/>
      <c r="D494" s="1" t="s">
        <v>9</v>
      </c>
      <c r="E494" s="1" t="s">
        <v>25</v>
      </c>
      <c r="F494" s="1">
        <v>0.5</v>
      </c>
      <c r="G494" s="1">
        <v>0</v>
      </c>
      <c r="H494" s="1">
        <v>0.8</v>
      </c>
      <c r="I494" s="1">
        <f t="shared" si="36"/>
        <v>0.5</v>
      </c>
      <c r="J494" s="1"/>
      <c r="K494" s="1"/>
      <c r="L494" s="1"/>
      <c r="M494" s="1"/>
      <c r="N494" s="1"/>
      <c r="O494" s="1">
        <v>21</v>
      </c>
      <c r="P494" s="15">
        <v>0</v>
      </c>
      <c r="Q494" s="1" t="s">
        <v>33</v>
      </c>
      <c r="R494" s="20" t="str">
        <f t="shared" si="34"/>
        <v>horizontal</v>
      </c>
      <c r="S494" s="19">
        <v>0</v>
      </c>
      <c r="T494" s="19">
        <v>0</v>
      </c>
      <c r="U494" s="19">
        <v>0</v>
      </c>
      <c r="V494" s="20">
        <v>0</v>
      </c>
      <c r="W494" s="20">
        <v>-1</v>
      </c>
      <c r="Y494" s="1"/>
      <c r="Z494" s="1">
        <v>70</v>
      </c>
      <c r="AA494" s="1"/>
      <c r="AB494" s="1"/>
      <c r="AC494" s="1"/>
      <c r="AD494" s="1">
        <v>2.1800000000000002</v>
      </c>
      <c r="AE494" s="22" t="s">
        <v>66</v>
      </c>
      <c r="AF494" s="22"/>
    </row>
    <row r="495" spans="1:32" x14ac:dyDescent="0.2">
      <c r="A495" s="1">
        <v>677</v>
      </c>
      <c r="B495" s="1"/>
      <c r="D495" s="1" t="s">
        <v>9</v>
      </c>
      <c r="E495" s="1" t="s">
        <v>25</v>
      </c>
      <c r="F495" s="1">
        <v>0.5</v>
      </c>
      <c r="G495" s="1">
        <v>0</v>
      </c>
      <c r="H495" s="1">
        <v>0.8</v>
      </c>
      <c r="I495" s="1">
        <f t="shared" si="36"/>
        <v>0.5</v>
      </c>
      <c r="J495" s="1"/>
      <c r="K495" s="1"/>
      <c r="L495" s="1"/>
      <c r="M495" s="1"/>
      <c r="N495" s="1"/>
      <c r="O495" s="1">
        <v>21</v>
      </c>
      <c r="P495" s="15">
        <v>0</v>
      </c>
      <c r="Q495" s="1" t="s">
        <v>33</v>
      </c>
      <c r="R495" s="20" t="str">
        <f t="shared" si="34"/>
        <v>horizontal</v>
      </c>
      <c r="S495" s="19">
        <v>0</v>
      </c>
      <c r="T495" s="19">
        <v>0</v>
      </c>
      <c r="U495" s="19">
        <v>0</v>
      </c>
      <c r="V495" s="20">
        <v>0</v>
      </c>
      <c r="W495" s="20">
        <v>-1</v>
      </c>
      <c r="Y495" s="1"/>
      <c r="Z495" s="1">
        <v>80</v>
      </c>
      <c r="AA495" s="1"/>
      <c r="AB495" s="1"/>
      <c r="AC495" s="1"/>
      <c r="AD495" s="1">
        <v>2.21</v>
      </c>
      <c r="AE495" s="22" t="s">
        <v>66</v>
      </c>
      <c r="AF495" s="22"/>
    </row>
    <row r="496" spans="1:32" x14ac:dyDescent="0.2">
      <c r="A496" s="1">
        <v>678</v>
      </c>
      <c r="B496" s="1"/>
      <c r="D496" s="1" t="s">
        <v>9</v>
      </c>
      <c r="E496" s="1" t="s">
        <v>25</v>
      </c>
      <c r="F496" s="1">
        <v>0.5</v>
      </c>
      <c r="G496" s="1">
        <v>0</v>
      </c>
      <c r="H496" s="1">
        <v>0.8</v>
      </c>
      <c r="I496" s="1">
        <f t="shared" si="36"/>
        <v>0.5</v>
      </c>
      <c r="J496" s="1"/>
      <c r="K496" s="1"/>
      <c r="L496" s="1"/>
      <c r="M496" s="1"/>
      <c r="N496" s="1"/>
      <c r="O496" s="1">
        <v>21</v>
      </c>
      <c r="P496" s="15">
        <v>0</v>
      </c>
      <c r="Q496" s="1" t="s">
        <v>33</v>
      </c>
      <c r="R496" s="20" t="str">
        <f t="shared" si="34"/>
        <v>horizontal</v>
      </c>
      <c r="S496" s="19">
        <v>0</v>
      </c>
      <c r="T496" s="19">
        <v>0</v>
      </c>
      <c r="U496" s="19">
        <v>0</v>
      </c>
      <c r="V496" s="20">
        <v>0</v>
      </c>
      <c r="W496" s="20">
        <v>-1</v>
      </c>
      <c r="Y496" s="1"/>
      <c r="Z496" s="1">
        <v>90</v>
      </c>
      <c r="AA496" s="1"/>
      <c r="AB496" s="1"/>
      <c r="AC496" s="1"/>
      <c r="AD496" s="1">
        <v>2.21</v>
      </c>
      <c r="AE496" s="22" t="s">
        <v>66</v>
      </c>
      <c r="AF496" s="22"/>
    </row>
    <row r="497" spans="1:32" s="5" customFormat="1" ht="16" thickBot="1" x14ac:dyDescent="0.25">
      <c r="A497" s="1">
        <v>679</v>
      </c>
      <c r="D497" s="5" t="s">
        <v>9</v>
      </c>
      <c r="E497" s="5" t="s">
        <v>25</v>
      </c>
      <c r="F497" s="5">
        <v>0.5</v>
      </c>
      <c r="G497" s="5">
        <v>0</v>
      </c>
      <c r="H497" s="5">
        <v>0.8</v>
      </c>
      <c r="I497" s="5">
        <f t="shared" si="36"/>
        <v>0.5</v>
      </c>
      <c r="O497" s="5">
        <v>21</v>
      </c>
      <c r="P497" s="25">
        <v>0</v>
      </c>
      <c r="Q497" s="5" t="s">
        <v>33</v>
      </c>
      <c r="R497" s="20" t="str">
        <f t="shared" si="34"/>
        <v>horizontal</v>
      </c>
      <c r="S497" s="30">
        <v>0</v>
      </c>
      <c r="T497" s="30">
        <v>0</v>
      </c>
      <c r="U497" s="30">
        <v>0</v>
      </c>
      <c r="V497" s="31">
        <v>0</v>
      </c>
      <c r="W497" s="31">
        <v>-1</v>
      </c>
      <c r="Z497" s="5">
        <v>98.8</v>
      </c>
      <c r="AD497" s="5">
        <v>2.23</v>
      </c>
      <c r="AE497" s="33" t="s">
        <v>66</v>
      </c>
      <c r="AF497" s="22"/>
    </row>
    <row r="498" spans="1:32" x14ac:dyDescent="0.2">
      <c r="A498" s="1">
        <v>680</v>
      </c>
      <c r="D498" s="1" t="s">
        <v>4</v>
      </c>
      <c r="E498" s="1" t="s">
        <v>25</v>
      </c>
      <c r="F498" s="15">
        <v>0.5</v>
      </c>
      <c r="G498" s="1">
        <v>0</v>
      </c>
      <c r="H498" s="15">
        <v>0.8</v>
      </c>
      <c r="I498" s="1">
        <f t="shared" ref="I498:I524" si="37">F498</f>
        <v>0.5</v>
      </c>
      <c r="O498" s="18">
        <v>30</v>
      </c>
      <c r="Q498" s="3" t="s">
        <v>33</v>
      </c>
      <c r="R498" s="20" t="str">
        <f t="shared" si="34"/>
        <v>horizontal</v>
      </c>
      <c r="S498" s="19">
        <v>0</v>
      </c>
      <c r="T498" s="19">
        <v>0</v>
      </c>
      <c r="U498" s="35">
        <v>0</v>
      </c>
      <c r="V498" s="20">
        <v>0</v>
      </c>
      <c r="W498" s="20">
        <v>-1</v>
      </c>
      <c r="Z498" s="15">
        <v>9.98471949356035</v>
      </c>
      <c r="AD498" s="1">
        <v>5.8441269841269801</v>
      </c>
      <c r="AE498" s="22" t="s">
        <v>107</v>
      </c>
      <c r="AF498" s="22"/>
    </row>
    <row r="499" spans="1:32" x14ac:dyDescent="0.2">
      <c r="A499" s="1">
        <v>681</v>
      </c>
      <c r="D499" s="1" t="s">
        <v>4</v>
      </c>
      <c r="E499" s="1" t="s">
        <v>25</v>
      </c>
      <c r="F499" s="15">
        <v>0.5</v>
      </c>
      <c r="G499" s="1">
        <v>0</v>
      </c>
      <c r="H499" s="15">
        <v>0.8</v>
      </c>
      <c r="I499" s="1">
        <f t="shared" si="37"/>
        <v>0.5</v>
      </c>
      <c r="O499" s="18">
        <v>30</v>
      </c>
      <c r="Q499" s="1" t="s">
        <v>33</v>
      </c>
      <c r="R499" s="20" t="str">
        <f t="shared" si="34"/>
        <v>horizontal</v>
      </c>
      <c r="S499" s="19">
        <v>0</v>
      </c>
      <c r="T499" s="19">
        <v>0</v>
      </c>
      <c r="U499" s="19">
        <v>0</v>
      </c>
      <c r="V499" s="20">
        <v>0</v>
      </c>
      <c r="W499" s="20">
        <v>-1</v>
      </c>
      <c r="Z499" s="15">
        <v>19.9170486793276</v>
      </c>
      <c r="AD499" s="1">
        <v>5.8917460317460302</v>
      </c>
      <c r="AE499" s="22" t="s">
        <v>107</v>
      </c>
      <c r="AF499" s="22"/>
    </row>
    <row r="500" spans="1:32" x14ac:dyDescent="0.2">
      <c r="A500" s="1">
        <v>682</v>
      </c>
      <c r="D500" s="1" t="s">
        <v>4</v>
      </c>
      <c r="E500" s="1" t="s">
        <v>25</v>
      </c>
      <c r="F500" s="15">
        <v>0.5</v>
      </c>
      <c r="G500" s="1">
        <v>0</v>
      </c>
      <c r="H500" s="15">
        <v>0.8</v>
      </c>
      <c r="I500" s="1">
        <f t="shared" si="37"/>
        <v>0.5</v>
      </c>
      <c r="O500" s="18">
        <v>30</v>
      </c>
      <c r="Q500" s="1" t="s">
        <v>33</v>
      </c>
      <c r="R500" s="20" t="str">
        <f t="shared" si="34"/>
        <v>horizontal</v>
      </c>
      <c r="S500" s="19">
        <v>0</v>
      </c>
      <c r="T500" s="19">
        <v>0</v>
      </c>
      <c r="U500" s="19">
        <v>0</v>
      </c>
      <c r="V500" s="20">
        <v>0</v>
      </c>
      <c r="W500" s="20">
        <v>-1</v>
      </c>
      <c r="Z500" s="15">
        <v>29.9585243396638</v>
      </c>
      <c r="AD500" s="1">
        <v>5.7488888888888798</v>
      </c>
      <c r="AE500" s="22" t="s">
        <v>107</v>
      </c>
      <c r="AF500" s="22"/>
    </row>
    <row r="501" spans="1:32" x14ac:dyDescent="0.2">
      <c r="A501" s="1">
        <v>683</v>
      </c>
      <c r="D501" s="1" t="s">
        <v>4</v>
      </c>
      <c r="E501" s="1" t="s">
        <v>25</v>
      </c>
      <c r="F501" s="15">
        <v>0.5</v>
      </c>
      <c r="G501" s="1">
        <v>0</v>
      </c>
      <c r="H501" s="15">
        <v>0.8</v>
      </c>
      <c r="I501" s="1">
        <f t="shared" si="37"/>
        <v>0.5</v>
      </c>
      <c r="O501" s="18">
        <v>30</v>
      </c>
      <c r="Q501" s="1" t="s">
        <v>33</v>
      </c>
      <c r="R501" s="20" t="str">
        <f t="shared" si="34"/>
        <v>horizontal</v>
      </c>
      <c r="S501" s="19">
        <v>0</v>
      </c>
      <c r="T501" s="19">
        <v>0</v>
      </c>
      <c r="U501" s="19">
        <v>0</v>
      </c>
      <c r="V501" s="20">
        <v>0</v>
      </c>
      <c r="W501" s="20">
        <v>-1</v>
      </c>
      <c r="Z501" s="15">
        <v>39.890853525431098</v>
      </c>
      <c r="AD501" s="1">
        <v>5.9076190476190398</v>
      </c>
      <c r="AE501" s="22" t="s">
        <v>107</v>
      </c>
      <c r="AF501" s="22"/>
    </row>
    <row r="502" spans="1:32" x14ac:dyDescent="0.2">
      <c r="A502" s="1">
        <v>684</v>
      </c>
      <c r="D502" s="1" t="s">
        <v>4</v>
      </c>
      <c r="E502" s="1" t="s">
        <v>25</v>
      </c>
      <c r="F502" s="15">
        <v>0.5</v>
      </c>
      <c r="G502" s="1">
        <v>0</v>
      </c>
      <c r="H502" s="15">
        <v>0.8</v>
      </c>
      <c r="I502" s="1">
        <f t="shared" si="37"/>
        <v>0.5</v>
      </c>
      <c r="O502" s="18">
        <v>30</v>
      </c>
      <c r="Q502" s="1" t="s">
        <v>33</v>
      </c>
      <c r="R502" s="20" t="str">
        <f t="shared" si="34"/>
        <v>horizontal</v>
      </c>
      <c r="S502" s="19">
        <v>0</v>
      </c>
      <c r="T502" s="19">
        <v>0</v>
      </c>
      <c r="U502" s="19">
        <v>0</v>
      </c>
      <c r="V502" s="20">
        <v>0</v>
      </c>
      <c r="W502" s="20">
        <v>-1</v>
      </c>
      <c r="Z502" s="15">
        <v>49.823182711198399</v>
      </c>
      <c r="AD502" s="1">
        <v>6.3282539682539598</v>
      </c>
      <c r="AE502" s="22" t="s">
        <v>107</v>
      </c>
      <c r="AF502" s="22"/>
    </row>
    <row r="503" spans="1:32" x14ac:dyDescent="0.2">
      <c r="A503" s="1">
        <v>685</v>
      </c>
      <c r="D503" s="1" t="s">
        <v>4</v>
      </c>
      <c r="E503" s="1" t="s">
        <v>25</v>
      </c>
      <c r="F503" s="15">
        <v>0.5</v>
      </c>
      <c r="G503" s="1">
        <v>0</v>
      </c>
      <c r="H503" s="15">
        <v>0.8</v>
      </c>
      <c r="I503" s="1">
        <f t="shared" si="37"/>
        <v>0.5</v>
      </c>
      <c r="O503" s="18">
        <v>30</v>
      </c>
      <c r="Q503" s="1" t="s">
        <v>33</v>
      </c>
      <c r="R503" s="20" t="str">
        <f t="shared" si="34"/>
        <v>horizontal</v>
      </c>
      <c r="S503" s="19">
        <v>0</v>
      </c>
      <c r="T503" s="19">
        <v>0</v>
      </c>
      <c r="U503" s="19">
        <v>0</v>
      </c>
      <c r="V503" s="20">
        <v>0</v>
      </c>
      <c r="W503" s="20">
        <v>-1</v>
      </c>
      <c r="Z503" s="15">
        <v>59.864658371534503</v>
      </c>
      <c r="AD503" s="1">
        <v>6.5663492063491997</v>
      </c>
      <c r="AE503" s="22" t="s">
        <v>107</v>
      </c>
      <c r="AF503" s="22"/>
    </row>
    <row r="504" spans="1:32" x14ac:dyDescent="0.2">
      <c r="A504" s="1">
        <v>686</v>
      </c>
      <c r="D504" s="1" t="s">
        <v>4</v>
      </c>
      <c r="E504" s="1" t="s">
        <v>25</v>
      </c>
      <c r="F504" s="15">
        <v>0.5</v>
      </c>
      <c r="G504" s="1">
        <v>0</v>
      </c>
      <c r="H504" s="15">
        <v>0.8</v>
      </c>
      <c r="I504" s="1">
        <f t="shared" si="37"/>
        <v>0.5</v>
      </c>
      <c r="O504" s="18">
        <v>30</v>
      </c>
      <c r="Q504" s="1" t="s">
        <v>33</v>
      </c>
      <c r="R504" s="20" t="str">
        <f t="shared" si="34"/>
        <v>horizontal</v>
      </c>
      <c r="S504" s="19">
        <v>0</v>
      </c>
      <c r="T504" s="19">
        <v>0</v>
      </c>
      <c r="U504" s="19">
        <v>0</v>
      </c>
      <c r="V504" s="20">
        <v>0</v>
      </c>
      <c r="W504" s="20">
        <v>-1</v>
      </c>
      <c r="Z504" s="15">
        <v>69.796987557301804</v>
      </c>
      <c r="AD504" s="1">
        <v>6.5107936507936497</v>
      </c>
      <c r="AE504" s="22" t="s">
        <v>107</v>
      </c>
      <c r="AF504" s="22"/>
    </row>
    <row r="505" spans="1:32" x14ac:dyDescent="0.2">
      <c r="A505" s="1">
        <v>687</v>
      </c>
      <c r="D505" s="1" t="s">
        <v>4</v>
      </c>
      <c r="E505" s="1" t="s">
        <v>25</v>
      </c>
      <c r="F505" s="15">
        <v>0.5</v>
      </c>
      <c r="G505" s="1">
        <v>0</v>
      </c>
      <c r="H505" s="15">
        <v>0.8</v>
      </c>
      <c r="I505" s="1">
        <f t="shared" si="37"/>
        <v>0.5</v>
      </c>
      <c r="O505" s="18">
        <v>30</v>
      </c>
      <c r="Q505" s="1" t="s">
        <v>33</v>
      </c>
      <c r="R505" s="20" t="str">
        <f t="shared" si="34"/>
        <v>horizontal</v>
      </c>
      <c r="S505" s="19">
        <v>0</v>
      </c>
      <c r="T505" s="19">
        <v>0</v>
      </c>
      <c r="U505" s="19">
        <v>0</v>
      </c>
      <c r="V505" s="20">
        <v>0</v>
      </c>
      <c r="W505" s="20">
        <v>-1</v>
      </c>
      <c r="Z505" s="15">
        <v>80.056756166775799</v>
      </c>
      <c r="AD505" s="1">
        <v>6.8441269841269801</v>
      </c>
      <c r="AE505" s="22" t="s">
        <v>107</v>
      </c>
      <c r="AF505" s="22"/>
    </row>
    <row r="506" spans="1:32" x14ac:dyDescent="0.2">
      <c r="A506" s="1">
        <v>688</v>
      </c>
      <c r="D506" s="1" t="s">
        <v>4</v>
      </c>
      <c r="E506" s="1" t="s">
        <v>25</v>
      </c>
      <c r="F506" s="15">
        <v>0.5</v>
      </c>
      <c r="G506" s="1">
        <v>0</v>
      </c>
      <c r="H506" s="15">
        <v>0.8</v>
      </c>
      <c r="I506" s="1">
        <f t="shared" si="37"/>
        <v>0.5</v>
      </c>
      <c r="O506" s="18">
        <v>30</v>
      </c>
      <c r="Q506" s="1" t="s">
        <v>33</v>
      </c>
      <c r="R506" s="20" t="str">
        <f t="shared" si="34"/>
        <v>horizontal</v>
      </c>
      <c r="S506" s="19">
        <v>0</v>
      </c>
      <c r="T506" s="19">
        <v>0</v>
      </c>
      <c r="U506" s="19">
        <v>0</v>
      </c>
      <c r="V506" s="20">
        <v>0</v>
      </c>
      <c r="W506" s="20">
        <v>-1</v>
      </c>
      <c r="Z506" s="15">
        <v>90.098231827111903</v>
      </c>
      <c r="AD506" s="1">
        <v>7.0742857142857103</v>
      </c>
      <c r="AE506" s="22" t="s">
        <v>107</v>
      </c>
      <c r="AF506" s="22"/>
    </row>
    <row r="507" spans="1:32" s="6" customFormat="1" x14ac:dyDescent="0.2">
      <c r="A507" s="1">
        <v>689</v>
      </c>
      <c r="B507" s="38"/>
      <c r="D507" s="6" t="s">
        <v>4</v>
      </c>
      <c r="E507" s="6" t="s">
        <v>25</v>
      </c>
      <c r="F507" s="39">
        <v>0.5</v>
      </c>
      <c r="G507" s="6">
        <v>0</v>
      </c>
      <c r="H507" s="39">
        <v>0.8</v>
      </c>
      <c r="I507" s="6">
        <f t="shared" si="37"/>
        <v>0.5</v>
      </c>
      <c r="J507" s="40"/>
      <c r="K507" s="40"/>
      <c r="L507" s="40"/>
      <c r="M507" s="41"/>
      <c r="N507" s="42"/>
      <c r="O507" s="42">
        <v>30</v>
      </c>
      <c r="P507" s="43"/>
      <c r="Q507" s="1" t="s">
        <v>33</v>
      </c>
      <c r="R507" s="20" t="str">
        <f t="shared" si="34"/>
        <v>horizontal</v>
      </c>
      <c r="S507" s="44">
        <v>0</v>
      </c>
      <c r="T507" s="44">
        <v>0</v>
      </c>
      <c r="U507" s="19">
        <v>0</v>
      </c>
      <c r="V507" s="45">
        <v>0</v>
      </c>
      <c r="W507" s="45">
        <v>-1</v>
      </c>
      <c r="Y507" s="42"/>
      <c r="Z507" s="39">
        <v>100.03056101287901</v>
      </c>
      <c r="AA507" s="40"/>
      <c r="AB507" s="40"/>
      <c r="AC507" s="40"/>
      <c r="AD507" s="6">
        <v>7.21714285714285</v>
      </c>
      <c r="AE507" s="46" t="s">
        <v>107</v>
      </c>
      <c r="AF507" s="22"/>
    </row>
    <row r="508" spans="1:32" s="3" customFormat="1" x14ac:dyDescent="0.2">
      <c r="A508" s="1">
        <v>690</v>
      </c>
      <c r="B508" s="47"/>
      <c r="D508" s="3" t="s">
        <v>9</v>
      </c>
      <c r="E508" s="3" t="s">
        <v>25</v>
      </c>
      <c r="F508" s="34">
        <v>0.5</v>
      </c>
      <c r="G508" s="3">
        <v>0</v>
      </c>
      <c r="H508" s="34">
        <v>0.8</v>
      </c>
      <c r="I508" s="3">
        <f t="shared" si="37"/>
        <v>0.5</v>
      </c>
      <c r="J508" s="48"/>
      <c r="K508" s="48"/>
      <c r="L508" s="48"/>
      <c r="M508" s="49"/>
      <c r="N508" s="50"/>
      <c r="O508" s="50">
        <v>30</v>
      </c>
      <c r="P508" s="51"/>
      <c r="Q508" s="1" t="s">
        <v>33</v>
      </c>
      <c r="R508" s="20" t="str">
        <f t="shared" si="34"/>
        <v>horizontal</v>
      </c>
      <c r="S508" s="35">
        <v>0</v>
      </c>
      <c r="T508" s="35">
        <v>0</v>
      </c>
      <c r="U508" s="19">
        <v>0</v>
      </c>
      <c r="V508" s="36">
        <v>0</v>
      </c>
      <c r="W508" s="36">
        <v>-1</v>
      </c>
      <c r="Y508" s="50"/>
      <c r="Z508" s="34">
        <v>29.9585243396638</v>
      </c>
      <c r="AA508" s="48"/>
      <c r="AB508" s="48"/>
      <c r="AC508" s="48"/>
      <c r="AD508" s="3">
        <v>3.9393650793650701</v>
      </c>
      <c r="AE508" s="37" t="s">
        <v>107</v>
      </c>
      <c r="AF508" s="22"/>
    </row>
    <row r="509" spans="1:32" x14ac:dyDescent="0.2">
      <c r="A509" s="1">
        <v>691</v>
      </c>
      <c r="D509" s="1" t="s">
        <v>9</v>
      </c>
      <c r="E509" s="1" t="s">
        <v>25</v>
      </c>
      <c r="F509" s="15">
        <v>0.5</v>
      </c>
      <c r="G509" s="1">
        <v>0</v>
      </c>
      <c r="H509" s="15">
        <v>0.8</v>
      </c>
      <c r="I509" s="1">
        <f t="shared" si="37"/>
        <v>0.5</v>
      </c>
      <c r="O509" s="18">
        <v>30</v>
      </c>
      <c r="Q509" s="1" t="s">
        <v>33</v>
      </c>
      <c r="R509" s="20" t="str">
        <f t="shared" si="34"/>
        <v>horizontal</v>
      </c>
      <c r="S509" s="19">
        <v>0</v>
      </c>
      <c r="T509" s="19">
        <v>0</v>
      </c>
      <c r="U509" s="19">
        <v>0</v>
      </c>
      <c r="V509" s="20">
        <v>0</v>
      </c>
      <c r="W509" s="20">
        <v>-1</v>
      </c>
      <c r="Z509" s="15">
        <v>39.999999999999901</v>
      </c>
      <c r="AD509" s="1">
        <v>3.9155555555555499</v>
      </c>
      <c r="AE509" s="22" t="s">
        <v>107</v>
      </c>
      <c r="AF509" s="22"/>
    </row>
    <row r="510" spans="1:32" x14ac:dyDescent="0.2">
      <c r="A510" s="1">
        <v>692</v>
      </c>
      <c r="D510" s="1" t="s">
        <v>9</v>
      </c>
      <c r="E510" s="1" t="s">
        <v>25</v>
      </c>
      <c r="F510" s="15">
        <v>0.5</v>
      </c>
      <c r="G510" s="1">
        <v>0</v>
      </c>
      <c r="H510" s="15">
        <v>0.8</v>
      </c>
      <c r="I510" s="1">
        <f t="shared" si="37"/>
        <v>0.5</v>
      </c>
      <c r="O510" s="18">
        <v>30</v>
      </c>
      <c r="Q510" s="1" t="s">
        <v>33</v>
      </c>
      <c r="R510" s="20" t="str">
        <f t="shared" si="34"/>
        <v>horizontal</v>
      </c>
      <c r="S510" s="19">
        <v>0</v>
      </c>
      <c r="T510" s="19">
        <v>0</v>
      </c>
      <c r="U510" s="19">
        <v>0</v>
      </c>
      <c r="V510" s="20">
        <v>0</v>
      </c>
      <c r="W510" s="20">
        <v>-1</v>
      </c>
      <c r="Z510" s="15">
        <v>49.932329185767202</v>
      </c>
      <c r="AD510" s="1">
        <v>3.7885714285714198</v>
      </c>
      <c r="AE510" s="22" t="s">
        <v>107</v>
      </c>
      <c r="AF510" s="22"/>
    </row>
    <row r="511" spans="1:32" x14ac:dyDescent="0.2">
      <c r="A511" s="1">
        <v>693</v>
      </c>
      <c r="D511" s="1" t="s">
        <v>9</v>
      </c>
      <c r="E511" s="1" t="s">
        <v>25</v>
      </c>
      <c r="F511" s="15">
        <v>0.5</v>
      </c>
      <c r="G511" s="1">
        <v>0</v>
      </c>
      <c r="H511" s="15">
        <v>0.8</v>
      </c>
      <c r="I511" s="1">
        <f t="shared" si="37"/>
        <v>0.5</v>
      </c>
      <c r="O511" s="18">
        <v>30</v>
      </c>
      <c r="Q511" s="1" t="s">
        <v>33</v>
      </c>
      <c r="R511" s="20" t="str">
        <f t="shared" si="34"/>
        <v>horizontal</v>
      </c>
      <c r="S511" s="19">
        <v>0</v>
      </c>
      <c r="T511" s="19">
        <v>0</v>
      </c>
      <c r="U511" s="19">
        <v>0</v>
      </c>
      <c r="V511" s="20">
        <v>0</v>
      </c>
      <c r="W511" s="20">
        <v>-1</v>
      </c>
      <c r="Z511" s="15">
        <v>59.864658371534503</v>
      </c>
      <c r="AD511" s="1">
        <v>3.71714285714285</v>
      </c>
      <c r="AE511" s="22" t="s">
        <v>107</v>
      </c>
      <c r="AF511" s="22"/>
    </row>
    <row r="512" spans="1:32" x14ac:dyDescent="0.2">
      <c r="A512" s="1">
        <v>694</v>
      </c>
      <c r="D512" s="1" t="s">
        <v>9</v>
      </c>
      <c r="E512" s="1" t="s">
        <v>25</v>
      </c>
      <c r="F512" s="15">
        <v>0.5</v>
      </c>
      <c r="G512" s="1">
        <v>0</v>
      </c>
      <c r="H512" s="15">
        <v>0.8</v>
      </c>
      <c r="I512" s="1">
        <f t="shared" si="37"/>
        <v>0.5</v>
      </c>
      <c r="O512" s="18">
        <v>30</v>
      </c>
      <c r="Q512" s="1" t="s">
        <v>33</v>
      </c>
      <c r="R512" s="20" t="str">
        <f t="shared" si="34"/>
        <v>horizontal</v>
      </c>
      <c r="S512" s="19">
        <v>0</v>
      </c>
      <c r="T512" s="19">
        <v>0</v>
      </c>
      <c r="U512" s="19">
        <v>0</v>
      </c>
      <c r="V512" s="20">
        <v>0</v>
      </c>
      <c r="W512" s="20">
        <v>-1</v>
      </c>
      <c r="Z512" s="15">
        <v>69.906134031870707</v>
      </c>
      <c r="AD512" s="1">
        <v>3.62190476190476</v>
      </c>
      <c r="AE512" s="22" t="s">
        <v>107</v>
      </c>
      <c r="AF512" s="22"/>
    </row>
    <row r="513" spans="1:32" x14ac:dyDescent="0.2">
      <c r="A513" s="1">
        <v>695</v>
      </c>
      <c r="D513" s="1" t="s">
        <v>9</v>
      </c>
      <c r="E513" s="1" t="s">
        <v>25</v>
      </c>
      <c r="F513" s="15">
        <v>0.5</v>
      </c>
      <c r="G513" s="1">
        <v>0</v>
      </c>
      <c r="H513" s="15">
        <v>0.8</v>
      </c>
      <c r="I513" s="1">
        <f t="shared" si="37"/>
        <v>0.5</v>
      </c>
      <c r="O513" s="18">
        <v>30</v>
      </c>
      <c r="Q513" s="1" t="s">
        <v>33</v>
      </c>
      <c r="R513" s="20" t="str">
        <f t="shared" si="34"/>
        <v>horizontal</v>
      </c>
      <c r="S513" s="19">
        <v>0</v>
      </c>
      <c r="T513" s="19">
        <v>0</v>
      </c>
      <c r="U513" s="19">
        <v>0</v>
      </c>
      <c r="V513" s="20">
        <v>0</v>
      </c>
      <c r="W513" s="20">
        <v>-1</v>
      </c>
      <c r="Z513" s="15">
        <v>80.165902641344601</v>
      </c>
      <c r="AD513" s="1">
        <v>3.67746031746031</v>
      </c>
      <c r="AE513" s="22" t="s">
        <v>107</v>
      </c>
      <c r="AF513" s="22"/>
    </row>
    <row r="514" spans="1:32" x14ac:dyDescent="0.2">
      <c r="A514" s="1">
        <v>696</v>
      </c>
      <c r="D514" s="1" t="s">
        <v>9</v>
      </c>
      <c r="E514" s="1" t="s">
        <v>25</v>
      </c>
      <c r="F514" s="15">
        <v>0.5</v>
      </c>
      <c r="G514" s="1">
        <v>0</v>
      </c>
      <c r="H514" s="15">
        <v>0.8</v>
      </c>
      <c r="I514" s="1">
        <f t="shared" si="37"/>
        <v>0.5</v>
      </c>
      <c r="O514" s="18">
        <v>30</v>
      </c>
      <c r="Q514" s="1" t="s">
        <v>33</v>
      </c>
      <c r="R514" s="20" t="str">
        <f t="shared" si="34"/>
        <v>horizontal</v>
      </c>
      <c r="S514" s="19">
        <v>0</v>
      </c>
      <c r="T514" s="19">
        <v>0</v>
      </c>
      <c r="U514" s="19">
        <v>0</v>
      </c>
      <c r="V514" s="20">
        <v>0</v>
      </c>
      <c r="W514" s="20">
        <v>-1</v>
      </c>
      <c r="Z514" s="15">
        <v>90.098231827111903</v>
      </c>
      <c r="AD514" s="1">
        <v>3.6615873015872999</v>
      </c>
      <c r="AE514" s="22" t="s">
        <v>107</v>
      </c>
      <c r="AF514" s="22"/>
    </row>
    <row r="515" spans="1:32" x14ac:dyDescent="0.2">
      <c r="A515" s="1">
        <v>697</v>
      </c>
      <c r="D515" s="1" t="s">
        <v>9</v>
      </c>
      <c r="E515" s="1" t="s">
        <v>25</v>
      </c>
      <c r="F515" s="15">
        <v>0.5</v>
      </c>
      <c r="G515" s="1">
        <v>0</v>
      </c>
      <c r="H515" s="15">
        <v>0.8</v>
      </c>
      <c r="I515" s="1">
        <f t="shared" si="37"/>
        <v>0.5</v>
      </c>
      <c r="O515" s="18">
        <v>30</v>
      </c>
      <c r="Q515" s="1" t="s">
        <v>33</v>
      </c>
      <c r="R515" s="20" t="str">
        <f t="shared" si="34"/>
        <v>horizontal</v>
      </c>
      <c r="S515" s="19">
        <v>0</v>
      </c>
      <c r="T515" s="19">
        <v>0</v>
      </c>
      <c r="U515" s="19">
        <v>0</v>
      </c>
      <c r="V515" s="20">
        <v>0</v>
      </c>
      <c r="W515" s="20">
        <v>-1</v>
      </c>
      <c r="Z515" s="15">
        <v>100.13970748744801</v>
      </c>
      <c r="AD515" s="1">
        <v>3.62190476190476</v>
      </c>
      <c r="AE515" s="22" t="s">
        <v>107</v>
      </c>
      <c r="AF515" s="22"/>
    </row>
    <row r="516" spans="1:32" x14ac:dyDescent="0.2">
      <c r="A516" s="1">
        <v>698</v>
      </c>
      <c r="D516" s="1" t="s">
        <v>4</v>
      </c>
      <c r="E516" s="1" t="s">
        <v>25</v>
      </c>
      <c r="F516" s="15">
        <v>0.5</v>
      </c>
      <c r="G516" s="1">
        <v>0</v>
      </c>
      <c r="H516" s="15">
        <v>0.8</v>
      </c>
      <c r="I516" s="1">
        <f t="shared" si="37"/>
        <v>0.5</v>
      </c>
      <c r="O516" s="18">
        <v>21</v>
      </c>
      <c r="Q516" s="1" t="s">
        <v>33</v>
      </c>
      <c r="R516" s="20" t="str">
        <f t="shared" ref="R516:R579" si="38">R515</f>
        <v>horizontal</v>
      </c>
      <c r="S516" s="19">
        <v>0</v>
      </c>
      <c r="T516" s="19">
        <v>0</v>
      </c>
      <c r="U516" s="19">
        <v>0</v>
      </c>
      <c r="V516" s="20">
        <v>0</v>
      </c>
      <c r="W516" s="20">
        <v>-1</v>
      </c>
      <c r="Z516" s="15">
        <v>20.026195153896499</v>
      </c>
      <c r="AD516" s="1">
        <v>3.1139682539682498</v>
      </c>
      <c r="AE516" s="22" t="s">
        <v>107</v>
      </c>
      <c r="AF516" s="22"/>
    </row>
    <row r="517" spans="1:32" x14ac:dyDescent="0.2">
      <c r="A517" s="1">
        <v>699</v>
      </c>
      <c r="D517" s="1" t="s">
        <v>4</v>
      </c>
      <c r="E517" s="1" t="s">
        <v>25</v>
      </c>
      <c r="F517" s="15">
        <v>0.5</v>
      </c>
      <c r="G517" s="1">
        <v>0</v>
      </c>
      <c r="H517" s="15">
        <v>0.8</v>
      </c>
      <c r="I517" s="1">
        <f t="shared" si="37"/>
        <v>0.5</v>
      </c>
      <c r="O517" s="18">
        <v>21</v>
      </c>
      <c r="Q517" s="1" t="s">
        <v>33</v>
      </c>
      <c r="R517" s="20" t="str">
        <f t="shared" si="38"/>
        <v>horizontal</v>
      </c>
      <c r="S517" s="19">
        <v>0</v>
      </c>
      <c r="T517" s="19">
        <v>0</v>
      </c>
      <c r="U517" s="19">
        <v>0</v>
      </c>
      <c r="V517" s="20">
        <v>0</v>
      </c>
      <c r="W517" s="20">
        <v>-1</v>
      </c>
      <c r="Z517" s="15">
        <v>29.9585243396638</v>
      </c>
      <c r="AD517" s="1">
        <v>3.2092063492063398</v>
      </c>
      <c r="AE517" s="22" t="s">
        <v>107</v>
      </c>
      <c r="AF517" s="22"/>
    </row>
    <row r="518" spans="1:32" x14ac:dyDescent="0.2">
      <c r="A518" s="1">
        <v>700</v>
      </c>
      <c r="D518" s="1" t="s">
        <v>4</v>
      </c>
      <c r="E518" s="1" t="s">
        <v>25</v>
      </c>
      <c r="F518" s="15">
        <v>0.5</v>
      </c>
      <c r="G518" s="1">
        <v>0</v>
      </c>
      <c r="H518" s="15">
        <v>0.8</v>
      </c>
      <c r="I518" s="1">
        <f t="shared" si="37"/>
        <v>0.5</v>
      </c>
      <c r="O518" s="18">
        <v>21</v>
      </c>
      <c r="Q518" s="1" t="s">
        <v>33</v>
      </c>
      <c r="R518" s="20" t="str">
        <f t="shared" si="38"/>
        <v>horizontal</v>
      </c>
      <c r="S518" s="19">
        <v>0</v>
      </c>
      <c r="T518" s="19">
        <v>0</v>
      </c>
      <c r="U518" s="19">
        <v>0</v>
      </c>
      <c r="V518" s="20">
        <v>0</v>
      </c>
      <c r="W518" s="20">
        <v>-1</v>
      </c>
      <c r="Z518" s="15">
        <v>39.890853525431098</v>
      </c>
      <c r="AD518" s="1">
        <v>3.17746031746031</v>
      </c>
      <c r="AE518" s="22" t="s">
        <v>107</v>
      </c>
      <c r="AF518" s="22"/>
    </row>
    <row r="519" spans="1:32" x14ac:dyDescent="0.2">
      <c r="A519" s="1">
        <v>701</v>
      </c>
      <c r="D519" s="1" t="s">
        <v>4</v>
      </c>
      <c r="E519" s="1" t="s">
        <v>25</v>
      </c>
      <c r="F519" s="15">
        <v>0.5</v>
      </c>
      <c r="G519" s="1">
        <v>0</v>
      </c>
      <c r="H519" s="15">
        <v>0.8</v>
      </c>
      <c r="I519" s="1">
        <f t="shared" si="37"/>
        <v>0.5</v>
      </c>
      <c r="O519" s="18">
        <v>21</v>
      </c>
      <c r="Q519" s="1" t="s">
        <v>33</v>
      </c>
      <c r="R519" s="20" t="str">
        <f t="shared" si="38"/>
        <v>horizontal</v>
      </c>
      <c r="S519" s="19">
        <v>0</v>
      </c>
      <c r="T519" s="19">
        <v>0</v>
      </c>
      <c r="U519" s="19">
        <v>0</v>
      </c>
      <c r="V519" s="20">
        <v>0</v>
      </c>
      <c r="W519" s="20">
        <v>-1</v>
      </c>
      <c r="Z519" s="15">
        <v>49.823182711198399</v>
      </c>
      <c r="AD519" s="1">
        <v>3.2409523809523799</v>
      </c>
      <c r="AE519" s="22" t="s">
        <v>107</v>
      </c>
      <c r="AF519" s="22"/>
    </row>
    <row r="520" spans="1:32" x14ac:dyDescent="0.2">
      <c r="A520" s="1">
        <v>702</v>
      </c>
      <c r="D520" s="1" t="s">
        <v>4</v>
      </c>
      <c r="E520" s="1" t="s">
        <v>25</v>
      </c>
      <c r="F520" s="15">
        <v>0.5</v>
      </c>
      <c r="G520" s="1">
        <v>0</v>
      </c>
      <c r="H520" s="15">
        <v>0.8</v>
      </c>
      <c r="I520" s="1">
        <f t="shared" si="37"/>
        <v>0.5</v>
      </c>
      <c r="O520" s="18">
        <v>21</v>
      </c>
      <c r="Q520" s="1" t="s">
        <v>33</v>
      </c>
      <c r="R520" s="20" t="str">
        <f t="shared" si="38"/>
        <v>horizontal</v>
      </c>
      <c r="S520" s="19">
        <v>0</v>
      </c>
      <c r="T520" s="19">
        <v>0</v>
      </c>
      <c r="U520" s="19">
        <v>0</v>
      </c>
      <c r="V520" s="20">
        <v>0</v>
      </c>
      <c r="W520" s="20">
        <v>-1</v>
      </c>
      <c r="Z520" s="15">
        <v>59.7555118969657</v>
      </c>
      <c r="AD520" s="1">
        <v>3.0901587301587199</v>
      </c>
      <c r="AE520" s="22" t="s">
        <v>107</v>
      </c>
      <c r="AF520" s="22"/>
    </row>
    <row r="521" spans="1:32" x14ac:dyDescent="0.2">
      <c r="A521" s="1">
        <v>703</v>
      </c>
      <c r="D521" s="1" t="s">
        <v>4</v>
      </c>
      <c r="E521" s="1" t="s">
        <v>25</v>
      </c>
      <c r="F521" s="15">
        <v>0.5</v>
      </c>
      <c r="G521" s="1">
        <v>0</v>
      </c>
      <c r="H521" s="15">
        <v>0.8</v>
      </c>
      <c r="I521" s="1">
        <f t="shared" si="37"/>
        <v>0.5</v>
      </c>
      <c r="O521" s="18">
        <v>21</v>
      </c>
      <c r="Q521" s="1" t="s">
        <v>33</v>
      </c>
      <c r="R521" s="20" t="str">
        <f t="shared" si="38"/>
        <v>horizontal</v>
      </c>
      <c r="S521" s="19">
        <v>0</v>
      </c>
      <c r="T521" s="19">
        <v>0</v>
      </c>
      <c r="U521" s="19">
        <v>0</v>
      </c>
      <c r="V521" s="20">
        <v>0</v>
      </c>
      <c r="W521" s="20">
        <v>-1</v>
      </c>
      <c r="Z521" s="15">
        <v>69.796987557301804</v>
      </c>
      <c r="AD521" s="1">
        <v>3.2488888888888798</v>
      </c>
      <c r="AE521" s="22" t="s">
        <v>107</v>
      </c>
      <c r="AF521" s="22"/>
    </row>
    <row r="522" spans="1:32" x14ac:dyDescent="0.2">
      <c r="A522" s="1">
        <v>704</v>
      </c>
      <c r="D522" s="1" t="s">
        <v>4</v>
      </c>
      <c r="E522" s="1" t="s">
        <v>25</v>
      </c>
      <c r="F522" s="15">
        <v>0.5</v>
      </c>
      <c r="G522" s="1">
        <v>0</v>
      </c>
      <c r="H522" s="15">
        <v>0.8</v>
      </c>
      <c r="I522" s="1">
        <f t="shared" si="37"/>
        <v>0.5</v>
      </c>
      <c r="O522" s="18">
        <v>21</v>
      </c>
      <c r="Q522" s="1" t="s">
        <v>33</v>
      </c>
      <c r="R522" s="20" t="str">
        <f t="shared" si="38"/>
        <v>horizontal</v>
      </c>
      <c r="S522" s="19">
        <v>0</v>
      </c>
      <c r="T522" s="19">
        <v>0</v>
      </c>
      <c r="U522" s="19">
        <v>0</v>
      </c>
      <c r="V522" s="20">
        <v>0</v>
      </c>
      <c r="W522" s="20">
        <v>-1</v>
      </c>
      <c r="Z522" s="15">
        <v>79.947609692206896</v>
      </c>
      <c r="AD522" s="1">
        <v>3.21714285714285</v>
      </c>
      <c r="AE522" s="22" t="s">
        <v>107</v>
      </c>
      <c r="AF522" s="22"/>
    </row>
    <row r="523" spans="1:32" x14ac:dyDescent="0.2">
      <c r="A523" s="1">
        <v>705</v>
      </c>
      <c r="D523" s="1" t="s">
        <v>4</v>
      </c>
      <c r="E523" s="1" t="s">
        <v>25</v>
      </c>
      <c r="F523" s="15">
        <v>0.5</v>
      </c>
      <c r="G523" s="1">
        <v>0</v>
      </c>
      <c r="H523" s="15">
        <v>0.8</v>
      </c>
      <c r="I523" s="1">
        <f t="shared" si="37"/>
        <v>0.5</v>
      </c>
      <c r="O523" s="18">
        <v>21</v>
      </c>
      <c r="Q523" s="1" t="s">
        <v>33</v>
      </c>
      <c r="R523" s="20" t="str">
        <f t="shared" si="38"/>
        <v>horizontal</v>
      </c>
      <c r="S523" s="19">
        <v>0</v>
      </c>
      <c r="T523" s="19">
        <v>0</v>
      </c>
      <c r="U523" s="19">
        <v>0</v>
      </c>
      <c r="V523" s="20">
        <v>0</v>
      </c>
      <c r="W523" s="20">
        <v>-1</v>
      </c>
      <c r="Z523" s="15">
        <v>90.098231827111903</v>
      </c>
      <c r="AD523" s="1">
        <v>3.2647619047619001</v>
      </c>
      <c r="AE523" s="22" t="s">
        <v>107</v>
      </c>
      <c r="AF523" s="22"/>
    </row>
    <row r="524" spans="1:32" x14ac:dyDescent="0.2">
      <c r="A524" s="1">
        <v>706</v>
      </c>
      <c r="D524" s="1" t="s">
        <v>4</v>
      </c>
      <c r="E524" s="1" t="s">
        <v>25</v>
      </c>
      <c r="F524" s="15">
        <v>0.5</v>
      </c>
      <c r="G524" s="1">
        <v>0</v>
      </c>
      <c r="H524" s="15">
        <v>0.8</v>
      </c>
      <c r="I524" s="1">
        <f t="shared" si="37"/>
        <v>0.5</v>
      </c>
      <c r="O524" s="18">
        <v>21</v>
      </c>
      <c r="Q524" s="1" t="s">
        <v>33</v>
      </c>
      <c r="R524" s="20" t="str">
        <f t="shared" si="38"/>
        <v>horizontal</v>
      </c>
      <c r="S524" s="19">
        <v>0</v>
      </c>
      <c r="T524" s="19">
        <v>0</v>
      </c>
      <c r="U524" s="19">
        <v>0</v>
      </c>
      <c r="V524" s="20">
        <v>0</v>
      </c>
      <c r="W524" s="20">
        <v>-1</v>
      </c>
      <c r="Z524" s="15">
        <v>100.03056101287901</v>
      </c>
      <c r="AD524" s="1">
        <v>3.08222222222222</v>
      </c>
      <c r="AE524" s="22" t="s">
        <v>107</v>
      </c>
      <c r="AF524" s="22"/>
    </row>
    <row r="525" spans="1:32" s="3" customFormat="1" x14ac:dyDescent="0.2">
      <c r="A525" s="1">
        <v>707</v>
      </c>
      <c r="B525" s="47"/>
      <c r="D525" s="3" t="s">
        <v>9</v>
      </c>
      <c r="E525" s="3" t="s">
        <v>25</v>
      </c>
      <c r="F525" s="34">
        <v>0.5</v>
      </c>
      <c r="G525" s="3">
        <v>0</v>
      </c>
      <c r="H525" s="34">
        <v>0.8</v>
      </c>
      <c r="I525" s="3">
        <f t="shared" ref="I525:I532" si="39">F525</f>
        <v>0.5</v>
      </c>
      <c r="J525" s="48"/>
      <c r="K525" s="48"/>
      <c r="L525" s="48"/>
      <c r="M525" s="49"/>
      <c r="N525" s="50"/>
      <c r="O525" s="50">
        <v>21</v>
      </c>
      <c r="P525" s="51"/>
      <c r="Q525" s="1" t="s">
        <v>33</v>
      </c>
      <c r="R525" s="20" t="str">
        <f t="shared" si="38"/>
        <v>horizontal</v>
      </c>
      <c r="S525" s="35">
        <v>0</v>
      </c>
      <c r="T525" s="35">
        <v>0</v>
      </c>
      <c r="U525" s="19">
        <v>0</v>
      </c>
      <c r="V525" s="36">
        <v>0</v>
      </c>
      <c r="W525" s="36">
        <v>-1</v>
      </c>
      <c r="Y525" s="50"/>
      <c r="Z525" s="34">
        <v>29.9585243396638</v>
      </c>
      <c r="AA525" s="48"/>
      <c r="AB525" s="48"/>
      <c r="AC525" s="48"/>
      <c r="AD525" s="3">
        <v>2.4155555555555499</v>
      </c>
      <c r="AE525" s="37" t="s">
        <v>107</v>
      </c>
      <c r="AF525" s="22"/>
    </row>
    <row r="526" spans="1:32" x14ac:dyDescent="0.2">
      <c r="A526" s="1">
        <v>708</v>
      </c>
      <c r="D526" s="1" t="s">
        <v>9</v>
      </c>
      <c r="E526" s="1" t="s">
        <v>25</v>
      </c>
      <c r="F526" s="15">
        <v>0.5</v>
      </c>
      <c r="G526" s="1">
        <v>0</v>
      </c>
      <c r="H526" s="15">
        <v>0.8</v>
      </c>
      <c r="I526" s="1">
        <f t="shared" si="39"/>
        <v>0.5</v>
      </c>
      <c r="O526" s="18">
        <v>21</v>
      </c>
      <c r="Q526" s="1" t="s">
        <v>33</v>
      </c>
      <c r="R526" s="20" t="str">
        <f t="shared" si="38"/>
        <v>horizontal</v>
      </c>
      <c r="S526" s="19">
        <v>0</v>
      </c>
      <c r="T526" s="19">
        <v>0</v>
      </c>
      <c r="U526" s="19">
        <v>0</v>
      </c>
      <c r="V526" s="20">
        <v>0</v>
      </c>
      <c r="W526" s="20">
        <v>-1</v>
      </c>
      <c r="Z526" s="15">
        <v>39.890853525431098</v>
      </c>
      <c r="AD526" s="1">
        <v>2.38380952380952</v>
      </c>
      <c r="AE526" s="22" t="s">
        <v>107</v>
      </c>
      <c r="AF526" s="22"/>
    </row>
    <row r="527" spans="1:32" x14ac:dyDescent="0.2">
      <c r="A527" s="1">
        <v>709</v>
      </c>
      <c r="D527" s="1" t="s">
        <v>9</v>
      </c>
      <c r="E527" s="1" t="s">
        <v>25</v>
      </c>
      <c r="F527" s="15">
        <v>0.5</v>
      </c>
      <c r="G527" s="1">
        <v>0</v>
      </c>
      <c r="H527" s="15">
        <v>0.8</v>
      </c>
      <c r="I527" s="1">
        <f t="shared" si="39"/>
        <v>0.5</v>
      </c>
      <c r="O527" s="18">
        <v>21</v>
      </c>
      <c r="Q527" s="1" t="s">
        <v>33</v>
      </c>
      <c r="R527" s="20" t="str">
        <f t="shared" si="38"/>
        <v>horizontal</v>
      </c>
      <c r="S527" s="19">
        <v>0</v>
      </c>
      <c r="T527" s="19">
        <v>0</v>
      </c>
      <c r="U527" s="19">
        <v>0</v>
      </c>
      <c r="V527" s="20">
        <v>0</v>
      </c>
      <c r="W527" s="20">
        <v>-1</v>
      </c>
      <c r="Z527" s="15">
        <v>50.041475660336097</v>
      </c>
      <c r="AD527" s="1">
        <v>2.3599999999999901</v>
      </c>
      <c r="AE527" s="22" t="s">
        <v>107</v>
      </c>
      <c r="AF527" s="22"/>
    </row>
    <row r="528" spans="1:32" x14ac:dyDescent="0.2">
      <c r="A528" s="1">
        <v>710</v>
      </c>
      <c r="D528" s="1" t="s">
        <v>9</v>
      </c>
      <c r="E528" s="1" t="s">
        <v>25</v>
      </c>
      <c r="F528" s="15">
        <v>0.5</v>
      </c>
      <c r="G528" s="1">
        <v>0</v>
      </c>
      <c r="H528" s="15">
        <v>0.8</v>
      </c>
      <c r="I528" s="1">
        <f t="shared" si="39"/>
        <v>0.5</v>
      </c>
      <c r="O528" s="18">
        <v>21</v>
      </c>
      <c r="Q528" s="1" t="s">
        <v>33</v>
      </c>
      <c r="R528" s="20" t="str">
        <f t="shared" si="38"/>
        <v>horizontal</v>
      </c>
      <c r="S528" s="19">
        <v>0</v>
      </c>
      <c r="T528" s="19">
        <v>0</v>
      </c>
      <c r="U528" s="19">
        <v>0</v>
      </c>
      <c r="V528" s="20">
        <v>0</v>
      </c>
      <c r="W528" s="20">
        <v>-1</v>
      </c>
      <c r="Z528" s="15">
        <v>59.7555118969657</v>
      </c>
      <c r="AD528" s="1">
        <v>2.3520634920634902</v>
      </c>
      <c r="AE528" s="22" t="s">
        <v>107</v>
      </c>
      <c r="AF528" s="22"/>
    </row>
    <row r="529" spans="1:32" x14ac:dyDescent="0.2">
      <c r="A529" s="1">
        <v>711</v>
      </c>
      <c r="D529" s="1" t="s">
        <v>9</v>
      </c>
      <c r="E529" s="1" t="s">
        <v>25</v>
      </c>
      <c r="F529" s="15">
        <v>0.5</v>
      </c>
      <c r="G529" s="1">
        <v>0</v>
      </c>
      <c r="H529" s="15">
        <v>0.8</v>
      </c>
      <c r="I529" s="1">
        <f t="shared" si="39"/>
        <v>0.5</v>
      </c>
      <c r="O529" s="18">
        <v>21</v>
      </c>
      <c r="Q529" s="1" t="s">
        <v>33</v>
      </c>
      <c r="R529" s="20" t="str">
        <f t="shared" si="38"/>
        <v>horizontal</v>
      </c>
      <c r="S529" s="19">
        <v>0</v>
      </c>
      <c r="T529" s="19">
        <v>0</v>
      </c>
      <c r="U529" s="19">
        <v>0</v>
      </c>
      <c r="V529" s="20">
        <v>0</v>
      </c>
      <c r="W529" s="20">
        <v>-1</v>
      </c>
      <c r="Z529" s="15">
        <v>69.906134031870707</v>
      </c>
      <c r="AD529" s="1">
        <v>2.3599999999999901</v>
      </c>
      <c r="AE529" s="22" t="s">
        <v>107</v>
      </c>
      <c r="AF529" s="22"/>
    </row>
    <row r="530" spans="1:32" x14ac:dyDescent="0.2">
      <c r="A530" s="1">
        <v>712</v>
      </c>
      <c r="D530" s="1" t="s">
        <v>9</v>
      </c>
      <c r="E530" s="1" t="s">
        <v>25</v>
      </c>
      <c r="F530" s="15">
        <v>0.5</v>
      </c>
      <c r="G530" s="1">
        <v>0</v>
      </c>
      <c r="H530" s="15">
        <v>0.8</v>
      </c>
      <c r="I530" s="1">
        <f t="shared" si="39"/>
        <v>0.5</v>
      </c>
      <c r="O530" s="18">
        <v>21</v>
      </c>
      <c r="Q530" s="1" t="s">
        <v>33</v>
      </c>
      <c r="R530" s="20" t="str">
        <f t="shared" si="38"/>
        <v>horizontal</v>
      </c>
      <c r="S530" s="19">
        <v>0</v>
      </c>
      <c r="T530" s="19">
        <v>0</v>
      </c>
      <c r="U530" s="19">
        <v>0</v>
      </c>
      <c r="V530" s="20">
        <v>0</v>
      </c>
      <c r="W530" s="20">
        <v>-1</v>
      </c>
      <c r="Z530" s="15">
        <v>80.165902641344601</v>
      </c>
      <c r="AD530" s="1">
        <v>2.2726984126984102</v>
      </c>
      <c r="AE530" s="22" t="s">
        <v>107</v>
      </c>
      <c r="AF530" s="22"/>
    </row>
    <row r="531" spans="1:32" x14ac:dyDescent="0.2">
      <c r="A531" s="1">
        <v>713</v>
      </c>
      <c r="D531" s="1" t="s">
        <v>9</v>
      </c>
      <c r="E531" s="1" t="s">
        <v>25</v>
      </c>
      <c r="F531" s="15">
        <v>0.5</v>
      </c>
      <c r="G531" s="1">
        <v>0</v>
      </c>
      <c r="H531" s="15">
        <v>0.8</v>
      </c>
      <c r="I531" s="1">
        <f t="shared" si="39"/>
        <v>0.5</v>
      </c>
      <c r="O531" s="18">
        <v>21</v>
      </c>
      <c r="Q531" s="1" t="s">
        <v>33</v>
      </c>
      <c r="R531" s="20" t="str">
        <f t="shared" si="38"/>
        <v>horizontal</v>
      </c>
      <c r="S531" s="19">
        <v>0</v>
      </c>
      <c r="T531" s="19">
        <v>0</v>
      </c>
      <c r="U531" s="19">
        <v>0</v>
      </c>
      <c r="V531" s="20">
        <v>0</v>
      </c>
      <c r="W531" s="20">
        <v>-1</v>
      </c>
      <c r="Z531" s="15">
        <v>89.9890853525431</v>
      </c>
      <c r="AD531" s="1">
        <v>2.1933333333333298</v>
      </c>
      <c r="AE531" s="22" t="s">
        <v>107</v>
      </c>
      <c r="AF531" s="22"/>
    </row>
    <row r="532" spans="1:32" s="4" customFormat="1" x14ac:dyDescent="0.2">
      <c r="A532" s="1">
        <v>714</v>
      </c>
      <c r="B532" s="52"/>
      <c r="D532" s="4" t="s">
        <v>9</v>
      </c>
      <c r="E532" s="4" t="s">
        <v>25</v>
      </c>
      <c r="F532" s="53">
        <v>0.5</v>
      </c>
      <c r="G532" s="4">
        <v>0</v>
      </c>
      <c r="H532" s="53">
        <v>0.8</v>
      </c>
      <c r="I532" s="4">
        <f t="shared" si="39"/>
        <v>0.5</v>
      </c>
      <c r="J532" s="54"/>
      <c r="K532" s="54"/>
      <c r="L532" s="54"/>
      <c r="M532" s="55"/>
      <c r="N532" s="56"/>
      <c r="O532" s="56">
        <v>21</v>
      </c>
      <c r="P532" s="57"/>
      <c r="Q532" s="1" t="s">
        <v>33</v>
      </c>
      <c r="R532" s="20" t="str">
        <f t="shared" si="38"/>
        <v>horizontal</v>
      </c>
      <c r="S532" s="58">
        <v>0</v>
      </c>
      <c r="T532" s="58">
        <v>0</v>
      </c>
      <c r="U532" s="58">
        <v>0</v>
      </c>
      <c r="V532" s="59">
        <v>0</v>
      </c>
      <c r="W532" s="59">
        <v>-1</v>
      </c>
      <c r="Y532" s="56"/>
      <c r="Z532" s="53">
        <v>100.13970748744801</v>
      </c>
      <c r="AA532" s="54"/>
      <c r="AB532" s="54"/>
      <c r="AC532" s="54"/>
      <c r="AD532" s="4">
        <v>2.0742857142857098</v>
      </c>
      <c r="AE532" s="60" t="s">
        <v>107</v>
      </c>
      <c r="AF532" s="22"/>
    </row>
    <row r="533" spans="1:32" s="3" customFormat="1" x14ac:dyDescent="0.2">
      <c r="A533" s="1">
        <v>715</v>
      </c>
      <c r="B533" s="47"/>
      <c r="D533" s="3" t="s">
        <v>4</v>
      </c>
      <c r="E533" s="3" t="s">
        <v>25</v>
      </c>
      <c r="F533" s="34">
        <v>0.5</v>
      </c>
      <c r="G533" s="3">
        <v>0</v>
      </c>
      <c r="H533" s="34">
        <v>0.8</v>
      </c>
      <c r="I533" s="3">
        <f t="shared" ref="I533:I538" si="40">F533</f>
        <v>0.5</v>
      </c>
      <c r="J533" s="48"/>
      <c r="K533" s="48"/>
      <c r="L533" s="48"/>
      <c r="M533" s="49"/>
      <c r="N533" s="50"/>
      <c r="O533" s="50">
        <v>20.897082347861001</v>
      </c>
      <c r="P533" s="51"/>
      <c r="Q533" s="1" t="s">
        <v>33</v>
      </c>
      <c r="R533" s="20" t="str">
        <f t="shared" si="38"/>
        <v>horizontal</v>
      </c>
      <c r="S533" s="35">
        <v>0</v>
      </c>
      <c r="T533" s="35">
        <v>0</v>
      </c>
      <c r="U533" s="35">
        <v>0</v>
      </c>
      <c r="V533" s="36">
        <v>0</v>
      </c>
      <c r="W533" s="36">
        <v>-1</v>
      </c>
      <c r="Y533" s="50"/>
      <c r="Z533" s="34">
        <v>101</v>
      </c>
      <c r="AA533" s="48"/>
      <c r="AB533" s="48"/>
      <c r="AC533" s="48"/>
      <c r="AD533" s="3">
        <v>3.2170328861497399</v>
      </c>
      <c r="AE533" s="37" t="s">
        <v>108</v>
      </c>
      <c r="AF533" s="22"/>
    </row>
    <row r="534" spans="1:32" x14ac:dyDescent="0.2">
      <c r="A534" s="1">
        <v>716</v>
      </c>
      <c r="D534" s="1" t="s">
        <v>4</v>
      </c>
      <c r="E534" s="1" t="s">
        <v>25</v>
      </c>
      <c r="F534" s="15">
        <v>0.5</v>
      </c>
      <c r="G534" s="1">
        <v>0</v>
      </c>
      <c r="H534" s="15">
        <v>0.8</v>
      </c>
      <c r="I534" s="1">
        <f t="shared" si="40"/>
        <v>0.5</v>
      </c>
      <c r="O534" s="18">
        <v>27.9020972158159</v>
      </c>
      <c r="Q534" s="1" t="s">
        <v>33</v>
      </c>
      <c r="R534" s="20" t="str">
        <f t="shared" si="38"/>
        <v>horizontal</v>
      </c>
      <c r="S534" s="19">
        <v>0</v>
      </c>
      <c r="T534" s="19">
        <v>0</v>
      </c>
      <c r="U534" s="19">
        <v>0</v>
      </c>
      <c r="V534" s="20">
        <v>0</v>
      </c>
      <c r="W534" s="20">
        <v>-1</v>
      </c>
      <c r="Z534" s="15">
        <v>101</v>
      </c>
      <c r="AD534" s="1">
        <v>4.9879584286092804</v>
      </c>
      <c r="AE534" s="22" t="s">
        <v>108</v>
      </c>
      <c r="AF534" s="22"/>
    </row>
    <row r="535" spans="1:32" x14ac:dyDescent="0.2">
      <c r="A535" s="1">
        <v>717</v>
      </c>
      <c r="D535" s="1" t="s">
        <v>4</v>
      </c>
      <c r="E535" s="1" t="s">
        <v>25</v>
      </c>
      <c r="F535" s="15">
        <v>0.5</v>
      </c>
      <c r="G535" s="1">
        <v>0</v>
      </c>
      <c r="H535" s="15">
        <v>0.8</v>
      </c>
      <c r="I535" s="1">
        <f t="shared" si="40"/>
        <v>0.5</v>
      </c>
      <c r="O535" s="18">
        <v>29.883804233686899</v>
      </c>
      <c r="Q535" s="1" t="s">
        <v>33</v>
      </c>
      <c r="R535" s="20" t="str">
        <f t="shared" si="38"/>
        <v>horizontal</v>
      </c>
      <c r="S535" s="19">
        <v>0</v>
      </c>
      <c r="T535" s="19">
        <v>0</v>
      </c>
      <c r="U535" s="19">
        <v>0</v>
      </c>
      <c r="V535" s="20">
        <v>0</v>
      </c>
      <c r="W535" s="20">
        <v>-1</v>
      </c>
      <c r="Z535" s="15">
        <v>101</v>
      </c>
      <c r="AD535" s="1">
        <v>5.77659793713259</v>
      </c>
      <c r="AE535" s="22" t="s">
        <v>108</v>
      </c>
      <c r="AF535" s="22"/>
    </row>
    <row r="536" spans="1:32" x14ac:dyDescent="0.2">
      <c r="A536" s="1">
        <v>718</v>
      </c>
      <c r="D536" s="1" t="s">
        <v>4</v>
      </c>
      <c r="E536" s="1" t="s">
        <v>25</v>
      </c>
      <c r="F536" s="15">
        <v>0.5</v>
      </c>
      <c r="G536" s="1">
        <v>0</v>
      </c>
      <c r="H536" s="15">
        <v>0.8</v>
      </c>
      <c r="I536" s="1">
        <f t="shared" si="40"/>
        <v>0.5</v>
      </c>
      <c r="O536" s="18">
        <v>39.820308743142498</v>
      </c>
      <c r="Q536" s="1" t="s">
        <v>33</v>
      </c>
      <c r="R536" s="20" t="str">
        <f t="shared" si="38"/>
        <v>horizontal</v>
      </c>
      <c r="S536" s="19">
        <v>0</v>
      </c>
      <c r="T536" s="19">
        <v>0</v>
      </c>
      <c r="U536" s="19">
        <v>0</v>
      </c>
      <c r="V536" s="20">
        <v>0</v>
      </c>
      <c r="W536" s="20">
        <v>-1</v>
      </c>
      <c r="Z536" s="15">
        <v>101</v>
      </c>
      <c r="AD536" s="1">
        <v>7.6985387204726301</v>
      </c>
      <c r="AE536" s="22" t="s">
        <v>108</v>
      </c>
      <c r="AF536" s="22"/>
    </row>
    <row r="537" spans="1:32" ht="16" thickBot="1" x14ac:dyDescent="0.25">
      <c r="A537" s="1">
        <v>719</v>
      </c>
      <c r="D537" s="1" t="s">
        <v>4</v>
      </c>
      <c r="E537" s="1" t="s">
        <v>25</v>
      </c>
      <c r="F537" s="15">
        <v>0.5</v>
      </c>
      <c r="G537" s="1">
        <v>0</v>
      </c>
      <c r="H537" s="15">
        <v>0.8</v>
      </c>
      <c r="I537" s="1">
        <f t="shared" si="40"/>
        <v>0.5</v>
      </c>
      <c r="O537" s="18">
        <v>43.8523214618683</v>
      </c>
      <c r="Q537" s="5" t="s">
        <v>33</v>
      </c>
      <c r="R537" s="20" t="str">
        <f t="shared" si="38"/>
        <v>horizontal</v>
      </c>
      <c r="S537" s="19">
        <v>0</v>
      </c>
      <c r="T537" s="19">
        <v>0</v>
      </c>
      <c r="U537" s="19">
        <v>0</v>
      </c>
      <c r="V537" s="20">
        <v>0</v>
      </c>
      <c r="W537" s="20">
        <v>-1</v>
      </c>
      <c r="Z537" s="15">
        <v>101</v>
      </c>
      <c r="AD537" s="1">
        <v>8.3184195805568297</v>
      </c>
      <c r="AE537" s="22" t="s">
        <v>108</v>
      </c>
      <c r="AF537" s="22"/>
    </row>
    <row r="538" spans="1:32" x14ac:dyDescent="0.2">
      <c r="A538" s="1">
        <v>720</v>
      </c>
      <c r="D538" s="1" t="s">
        <v>4</v>
      </c>
      <c r="E538" s="1" t="s">
        <v>25</v>
      </c>
      <c r="F538" s="15">
        <v>0.5</v>
      </c>
      <c r="G538" s="1">
        <v>0</v>
      </c>
      <c r="H538" s="15">
        <v>0.8</v>
      </c>
      <c r="I538" s="1">
        <f t="shared" si="40"/>
        <v>0.5</v>
      </c>
      <c r="O538" s="18">
        <v>46.838866698725099</v>
      </c>
      <c r="Q538" s="3" t="s">
        <v>33</v>
      </c>
      <c r="R538" s="20" t="str">
        <f t="shared" si="38"/>
        <v>horizontal</v>
      </c>
      <c r="S538" s="19">
        <v>0</v>
      </c>
      <c r="T538" s="19">
        <v>0</v>
      </c>
      <c r="U538" s="19">
        <v>0</v>
      </c>
      <c r="V538" s="20">
        <v>0</v>
      </c>
      <c r="W538" s="20">
        <v>-1</v>
      </c>
      <c r="Z538" s="15">
        <v>101</v>
      </c>
      <c r="AD538" s="1">
        <v>8.4907504637035398</v>
      </c>
      <c r="AE538" s="22" t="s">
        <v>108</v>
      </c>
      <c r="AF538" s="22"/>
    </row>
    <row r="539" spans="1:32" s="3" customFormat="1" x14ac:dyDescent="0.2">
      <c r="A539" s="1">
        <v>721</v>
      </c>
      <c r="B539" s="47"/>
      <c r="D539" s="3" t="s">
        <v>9</v>
      </c>
      <c r="E539" s="3" t="s">
        <v>25</v>
      </c>
      <c r="F539" s="34">
        <v>0.5</v>
      </c>
      <c r="G539" s="3">
        <v>0</v>
      </c>
      <c r="H539" s="34">
        <v>0.8</v>
      </c>
      <c r="I539" s="3">
        <f t="shared" ref="I539:I583" si="41">F539</f>
        <v>0.5</v>
      </c>
      <c r="J539" s="48"/>
      <c r="K539" s="48"/>
      <c r="L539" s="48"/>
      <c r="M539" s="49"/>
      <c r="N539" s="50"/>
      <c r="O539" s="50">
        <v>20.9079757009529</v>
      </c>
      <c r="P539" s="51"/>
      <c r="Q539" s="1" t="s">
        <v>33</v>
      </c>
      <c r="R539" s="20" t="str">
        <f t="shared" si="38"/>
        <v>horizontal</v>
      </c>
      <c r="S539" s="35">
        <v>0</v>
      </c>
      <c r="T539" s="35">
        <v>0</v>
      </c>
      <c r="U539" s="19">
        <v>0</v>
      </c>
      <c r="V539" s="36">
        <v>0</v>
      </c>
      <c r="W539" s="36">
        <v>-1</v>
      </c>
      <c r="Y539" s="50"/>
      <c r="Z539" s="34">
        <v>101</v>
      </c>
      <c r="AA539" s="48"/>
      <c r="AB539" s="48"/>
      <c r="AC539" s="48"/>
      <c r="AD539" s="3">
        <v>2.4298065693788802</v>
      </c>
      <c r="AE539" s="37" t="s">
        <v>108</v>
      </c>
      <c r="AF539" s="22"/>
    </row>
    <row r="540" spans="1:32" x14ac:dyDescent="0.2">
      <c r="A540" s="1">
        <v>722</v>
      </c>
      <c r="D540" s="1" t="s">
        <v>9</v>
      </c>
      <c r="E540" s="1" t="s">
        <v>25</v>
      </c>
      <c r="F540" s="15">
        <v>0.5</v>
      </c>
      <c r="G540" s="1">
        <v>0</v>
      </c>
      <c r="H540" s="15">
        <v>0.8</v>
      </c>
      <c r="I540" s="1">
        <f t="shared" si="41"/>
        <v>0.5</v>
      </c>
      <c r="O540" s="18">
        <v>27.9197621127216</v>
      </c>
      <c r="Q540" s="1" t="s">
        <v>33</v>
      </c>
      <c r="R540" s="20" t="str">
        <f t="shared" si="38"/>
        <v>horizontal</v>
      </c>
      <c r="S540" s="19">
        <v>0</v>
      </c>
      <c r="T540" s="19">
        <v>0</v>
      </c>
      <c r="U540" s="19">
        <v>0</v>
      </c>
      <c r="V540" s="20">
        <v>0</v>
      </c>
      <c r="W540" s="20">
        <v>-1</v>
      </c>
      <c r="Z540" s="15">
        <v>101</v>
      </c>
      <c r="AD540" s="1">
        <v>3.7113752122240999</v>
      </c>
      <c r="AE540" s="22" t="s">
        <v>108</v>
      </c>
      <c r="AF540" s="22"/>
    </row>
    <row r="541" spans="1:32" x14ac:dyDescent="0.2">
      <c r="A541" s="1">
        <v>723</v>
      </c>
      <c r="D541" s="1" t="s">
        <v>9</v>
      </c>
      <c r="E541" s="1" t="s">
        <v>25</v>
      </c>
      <c r="F541" s="15">
        <v>0.5</v>
      </c>
      <c r="G541" s="1">
        <v>0</v>
      </c>
      <c r="H541" s="15">
        <v>0.8</v>
      </c>
      <c r="I541" s="1">
        <f t="shared" si="41"/>
        <v>0.5</v>
      </c>
      <c r="O541" s="18">
        <v>29.9641795146078</v>
      </c>
      <c r="Q541" s="1" t="s">
        <v>33</v>
      </c>
      <c r="R541" s="20" t="str">
        <f t="shared" si="38"/>
        <v>horizontal</v>
      </c>
      <c r="S541" s="19">
        <v>0</v>
      </c>
      <c r="T541" s="19">
        <v>0</v>
      </c>
      <c r="U541" s="19">
        <v>0</v>
      </c>
      <c r="V541" s="20">
        <v>0</v>
      </c>
      <c r="W541" s="20">
        <v>-1</v>
      </c>
      <c r="Z541" s="15">
        <v>101</v>
      </c>
      <c r="AD541" s="1">
        <v>3.96814430258005</v>
      </c>
      <c r="AE541" s="22" t="s">
        <v>108</v>
      </c>
      <c r="AF541" s="22"/>
    </row>
    <row r="542" spans="1:32" x14ac:dyDescent="0.2">
      <c r="A542" s="1">
        <v>724</v>
      </c>
      <c r="D542" s="1" t="s">
        <v>9</v>
      </c>
      <c r="E542" s="1" t="s">
        <v>25</v>
      </c>
      <c r="F542" s="15">
        <v>0.5</v>
      </c>
      <c r="G542" s="1">
        <v>0</v>
      </c>
      <c r="H542" s="15">
        <v>0.8</v>
      </c>
      <c r="I542" s="1">
        <f t="shared" si="41"/>
        <v>0.5</v>
      </c>
      <c r="O542" s="18">
        <v>38.363837993267701</v>
      </c>
      <c r="Q542" s="1" t="s">
        <v>33</v>
      </c>
      <c r="R542" s="20" t="str">
        <f t="shared" si="38"/>
        <v>horizontal</v>
      </c>
      <c r="S542" s="19">
        <v>0</v>
      </c>
      <c r="T542" s="19">
        <v>0</v>
      </c>
      <c r="U542" s="19">
        <v>0</v>
      </c>
      <c r="V542" s="20">
        <v>0</v>
      </c>
      <c r="W542" s="20">
        <v>-1</v>
      </c>
      <c r="Z542" s="15">
        <v>101</v>
      </c>
      <c r="AD542" s="1">
        <v>4.9528249114301701</v>
      </c>
      <c r="AE542" s="22" t="s">
        <v>108</v>
      </c>
      <c r="AF542" s="22"/>
    </row>
    <row r="543" spans="1:32" x14ac:dyDescent="0.2">
      <c r="A543" s="1">
        <v>725</v>
      </c>
      <c r="D543" s="1" t="s">
        <v>9</v>
      </c>
      <c r="E543" s="1" t="s">
        <v>25</v>
      </c>
      <c r="F543" s="15">
        <v>0.5</v>
      </c>
      <c r="G543" s="1">
        <v>0</v>
      </c>
      <c r="H543" s="15">
        <v>0.8</v>
      </c>
      <c r="I543" s="1">
        <f t="shared" si="41"/>
        <v>0.5</v>
      </c>
      <c r="O543" s="18">
        <v>43.6147285984867</v>
      </c>
      <c r="Q543" s="1" t="s">
        <v>33</v>
      </c>
      <c r="R543" s="20" t="str">
        <f t="shared" si="38"/>
        <v>horizontal</v>
      </c>
      <c r="S543" s="19">
        <v>0</v>
      </c>
      <c r="T543" s="19">
        <v>0</v>
      </c>
      <c r="U543" s="19">
        <v>0</v>
      </c>
      <c r="V543" s="20">
        <v>0</v>
      </c>
      <c r="W543" s="20">
        <v>-1</v>
      </c>
      <c r="Z543" s="15">
        <v>101</v>
      </c>
      <c r="AD543" s="1">
        <v>5.4884638409374098</v>
      </c>
      <c r="AE543" s="22" t="s">
        <v>108</v>
      </c>
      <c r="AF543" s="22"/>
    </row>
    <row r="544" spans="1:32" s="5" customFormat="1" ht="16" thickBot="1" x14ac:dyDescent="0.25">
      <c r="A544" s="1">
        <v>726</v>
      </c>
      <c r="B544" s="24"/>
      <c r="D544" s="5" t="s">
        <v>9</v>
      </c>
      <c r="E544" s="5" t="s">
        <v>25</v>
      </c>
      <c r="F544" s="25">
        <v>0.5</v>
      </c>
      <c r="G544" s="5">
        <v>0</v>
      </c>
      <c r="H544" s="25">
        <v>0.8</v>
      </c>
      <c r="I544" s="5">
        <f t="shared" si="41"/>
        <v>0.5</v>
      </c>
      <c r="J544" s="26"/>
      <c r="K544" s="26"/>
      <c r="L544" s="26"/>
      <c r="M544" s="27"/>
      <c r="N544" s="28"/>
      <c r="O544" s="28">
        <v>49.849553961353102</v>
      </c>
      <c r="P544" s="29"/>
      <c r="Q544" s="1" t="s">
        <v>33</v>
      </c>
      <c r="R544" s="20" t="str">
        <f t="shared" si="38"/>
        <v>horizontal</v>
      </c>
      <c r="S544" s="30">
        <v>0</v>
      </c>
      <c r="T544" s="30">
        <v>0</v>
      </c>
      <c r="U544" s="30">
        <v>0</v>
      </c>
      <c r="V544" s="31">
        <v>0</v>
      </c>
      <c r="W544" s="31">
        <v>-1</v>
      </c>
      <c r="Y544" s="28"/>
      <c r="Z544" s="25">
        <v>101</v>
      </c>
      <c r="AA544" s="26"/>
      <c r="AB544" s="26"/>
      <c r="AC544" s="26"/>
      <c r="AD544" s="5">
        <v>6.9184176177905101</v>
      </c>
      <c r="AE544" s="33" t="s">
        <v>108</v>
      </c>
      <c r="AF544" s="22"/>
    </row>
    <row r="545" spans="1:33" s="3" customFormat="1" x14ac:dyDescent="0.2">
      <c r="A545" s="1">
        <v>727</v>
      </c>
      <c r="B545" s="47"/>
      <c r="D545" s="3" t="s">
        <v>9</v>
      </c>
      <c r="E545" s="3" t="s">
        <v>25</v>
      </c>
      <c r="F545" s="34">
        <v>0.5</v>
      </c>
      <c r="G545" s="3">
        <v>0</v>
      </c>
      <c r="H545" s="34">
        <v>0.8</v>
      </c>
      <c r="I545" s="3">
        <f t="shared" si="41"/>
        <v>0.5</v>
      </c>
      <c r="J545" s="48"/>
      <c r="K545" s="48"/>
      <c r="L545" s="48"/>
      <c r="M545" s="49"/>
      <c r="N545" s="50"/>
      <c r="O545" s="50">
        <v>21</v>
      </c>
      <c r="P545" s="51"/>
      <c r="Q545" s="1" t="s">
        <v>33</v>
      </c>
      <c r="R545" s="20" t="str">
        <f t="shared" si="38"/>
        <v>horizontal</v>
      </c>
      <c r="S545" s="35">
        <v>0</v>
      </c>
      <c r="T545" s="35">
        <v>0</v>
      </c>
      <c r="U545" s="35">
        <v>0</v>
      </c>
      <c r="V545" s="36">
        <v>0</v>
      </c>
      <c r="W545" s="36">
        <v>-1</v>
      </c>
      <c r="Y545" s="50"/>
      <c r="Z545" s="34">
        <v>30.021021227570898</v>
      </c>
      <c r="AA545" s="48"/>
      <c r="AB545" s="48"/>
      <c r="AC545" s="48"/>
      <c r="AD545" s="3">
        <v>2.40616966580976</v>
      </c>
      <c r="AE545" s="37" t="s">
        <v>69</v>
      </c>
      <c r="AF545" s="22"/>
      <c r="AG545" s="3">
        <v>1</v>
      </c>
    </row>
    <row r="546" spans="1:33" x14ac:dyDescent="0.2">
      <c r="A546" s="1">
        <v>728</v>
      </c>
      <c r="D546" s="1" t="s">
        <v>9</v>
      </c>
      <c r="E546" s="1" t="s">
        <v>25</v>
      </c>
      <c r="F546" s="15">
        <v>0.5</v>
      </c>
      <c r="G546" s="1">
        <v>0</v>
      </c>
      <c r="H546" s="15">
        <v>0.8</v>
      </c>
      <c r="I546" s="1">
        <f t="shared" si="41"/>
        <v>0.5</v>
      </c>
      <c r="O546" s="18">
        <v>21</v>
      </c>
      <c r="Q546" s="1" t="s">
        <v>33</v>
      </c>
      <c r="R546" s="20" t="str">
        <f t="shared" si="38"/>
        <v>horizontal</v>
      </c>
      <c r="S546" s="19">
        <v>0</v>
      </c>
      <c r="T546" s="19">
        <v>0</v>
      </c>
      <c r="U546" s="19">
        <v>0</v>
      </c>
      <c r="V546" s="20">
        <v>0</v>
      </c>
      <c r="W546" s="20">
        <v>-1</v>
      </c>
      <c r="Z546" s="15">
        <v>40.008955874050301</v>
      </c>
      <c r="AD546" s="1">
        <v>2.3856041131105399</v>
      </c>
      <c r="AE546" s="22" t="s">
        <v>69</v>
      </c>
      <c r="AF546" s="22"/>
    </row>
    <row r="547" spans="1:33" x14ac:dyDescent="0.2">
      <c r="A547" s="1">
        <v>729</v>
      </c>
      <c r="D547" s="1" t="s">
        <v>9</v>
      </c>
      <c r="E547" s="1" t="s">
        <v>25</v>
      </c>
      <c r="F547" s="15">
        <v>0.5</v>
      </c>
      <c r="G547" s="1">
        <v>0</v>
      </c>
      <c r="H547" s="15">
        <v>0.8</v>
      </c>
      <c r="I547" s="1">
        <f t="shared" si="41"/>
        <v>0.5</v>
      </c>
      <c r="O547" s="18">
        <v>21</v>
      </c>
      <c r="Q547" s="1" t="s">
        <v>33</v>
      </c>
      <c r="R547" s="20" t="str">
        <f t="shared" si="38"/>
        <v>horizontal</v>
      </c>
      <c r="S547" s="19">
        <v>0</v>
      </c>
      <c r="T547" s="19">
        <v>0</v>
      </c>
      <c r="U547" s="19">
        <v>0</v>
      </c>
      <c r="V547" s="20">
        <v>0</v>
      </c>
      <c r="W547" s="20">
        <v>-1</v>
      </c>
      <c r="Z547" s="15">
        <v>49.996890520529703</v>
      </c>
      <c r="AD547" s="1">
        <v>2.36503856041131</v>
      </c>
      <c r="AE547" s="22" t="s">
        <v>69</v>
      </c>
      <c r="AF547" s="22"/>
    </row>
    <row r="548" spans="1:33" x14ac:dyDescent="0.2">
      <c r="A548" s="1">
        <v>730</v>
      </c>
      <c r="D548" s="1" t="s">
        <v>9</v>
      </c>
      <c r="E548" s="1" t="s">
        <v>25</v>
      </c>
      <c r="F548" s="15">
        <v>0.5</v>
      </c>
      <c r="G548" s="1">
        <v>0</v>
      </c>
      <c r="H548" s="15">
        <v>0.8</v>
      </c>
      <c r="I548" s="1">
        <f t="shared" si="41"/>
        <v>0.5</v>
      </c>
      <c r="O548" s="18">
        <v>21</v>
      </c>
      <c r="Q548" s="1" t="s">
        <v>33</v>
      </c>
      <c r="R548" s="20" t="str">
        <f t="shared" si="38"/>
        <v>horizontal</v>
      </c>
      <c r="S548" s="19">
        <v>0</v>
      </c>
      <c r="T548" s="19">
        <v>0</v>
      </c>
      <c r="U548" s="19">
        <v>0</v>
      </c>
      <c r="V548" s="20">
        <v>0</v>
      </c>
      <c r="W548" s="20">
        <v>-1</v>
      </c>
      <c r="Z548" s="15">
        <v>60.073782072776098</v>
      </c>
      <c r="AD548" s="1">
        <v>2.33933161953727</v>
      </c>
      <c r="AE548" s="22" t="s">
        <v>69</v>
      </c>
      <c r="AF548" s="22"/>
    </row>
    <row r="549" spans="1:33" x14ac:dyDescent="0.2">
      <c r="A549" s="1">
        <v>731</v>
      </c>
      <c r="D549" s="1" t="s">
        <v>9</v>
      </c>
      <c r="E549" s="1" t="s">
        <v>25</v>
      </c>
      <c r="F549" s="15">
        <v>0.5</v>
      </c>
      <c r="G549" s="1">
        <v>0</v>
      </c>
      <c r="H549" s="15">
        <v>0.8</v>
      </c>
      <c r="I549" s="1">
        <f t="shared" si="41"/>
        <v>0.5</v>
      </c>
      <c r="O549" s="18">
        <v>21</v>
      </c>
      <c r="Q549" s="1" t="s">
        <v>33</v>
      </c>
      <c r="R549" s="20" t="str">
        <f t="shared" si="38"/>
        <v>horizontal</v>
      </c>
      <c r="S549" s="19">
        <v>0</v>
      </c>
      <c r="T549" s="19">
        <v>0</v>
      </c>
      <c r="U549" s="19">
        <v>0</v>
      </c>
      <c r="V549" s="20">
        <v>0</v>
      </c>
      <c r="W549" s="20">
        <v>-1</v>
      </c>
      <c r="Z549" s="15">
        <v>70.063780152636696</v>
      </c>
      <c r="AD549" s="1">
        <v>2.36503856041131</v>
      </c>
      <c r="AE549" s="22" t="s">
        <v>69</v>
      </c>
      <c r="AF549" s="22"/>
    </row>
    <row r="550" spans="1:33" x14ac:dyDescent="0.2">
      <c r="A550" s="1">
        <v>732</v>
      </c>
      <c r="D550" s="1" t="s">
        <v>9</v>
      </c>
      <c r="E550" s="1" t="s">
        <v>25</v>
      </c>
      <c r="F550" s="15">
        <v>0.5</v>
      </c>
      <c r="G550" s="1">
        <v>0</v>
      </c>
      <c r="H550" s="15">
        <v>0.8</v>
      </c>
      <c r="I550" s="1">
        <f t="shared" si="41"/>
        <v>0.5</v>
      </c>
      <c r="O550" s="18">
        <v>21</v>
      </c>
      <c r="Q550" s="1" t="s">
        <v>33</v>
      </c>
      <c r="R550" s="20" t="str">
        <f t="shared" si="38"/>
        <v>horizontal</v>
      </c>
      <c r="S550" s="19">
        <v>0</v>
      </c>
      <c r="T550" s="19">
        <v>0</v>
      </c>
      <c r="U550" s="19">
        <v>0</v>
      </c>
      <c r="V550" s="20">
        <v>0</v>
      </c>
      <c r="W550" s="20">
        <v>-1</v>
      </c>
      <c r="Z550" s="15">
        <v>80.048505013856499</v>
      </c>
      <c r="AD550" s="1">
        <v>2.27249357326478</v>
      </c>
      <c r="AE550" s="22" t="s">
        <v>69</v>
      </c>
      <c r="AF550" s="22"/>
    </row>
    <row r="551" spans="1:33" x14ac:dyDescent="0.2">
      <c r="A551" s="1">
        <v>733</v>
      </c>
      <c r="D551" s="1" t="s">
        <v>9</v>
      </c>
      <c r="E551" s="1" t="s">
        <v>25</v>
      </c>
      <c r="F551" s="15">
        <v>0.5</v>
      </c>
      <c r="G551" s="1">
        <v>0</v>
      </c>
      <c r="H551" s="15">
        <v>0.8</v>
      </c>
      <c r="I551" s="1">
        <f t="shared" si="41"/>
        <v>0.5</v>
      </c>
      <c r="O551" s="18">
        <v>21</v>
      </c>
      <c r="Q551" s="1" t="s">
        <v>33</v>
      </c>
      <c r="R551" s="20" t="str">
        <f t="shared" si="38"/>
        <v>horizontal</v>
      </c>
      <c r="S551" s="19">
        <v>0</v>
      </c>
      <c r="T551" s="19">
        <v>0</v>
      </c>
      <c r="U551" s="19">
        <v>0</v>
      </c>
      <c r="V551" s="20">
        <v>0</v>
      </c>
      <c r="W551" s="20">
        <v>-1</v>
      </c>
      <c r="Z551" s="15">
        <v>90.034834767706101</v>
      </c>
      <c r="AD551" s="1">
        <v>2.2159383033419</v>
      </c>
      <c r="AE551" s="22" t="s">
        <v>69</v>
      </c>
      <c r="AF551" s="22"/>
    </row>
    <row r="552" spans="1:33" x14ac:dyDescent="0.2">
      <c r="A552" s="1">
        <v>734</v>
      </c>
      <c r="D552" s="1" t="s">
        <v>9</v>
      </c>
      <c r="E552" s="1" t="s">
        <v>25</v>
      </c>
      <c r="F552" s="15">
        <v>0.5</v>
      </c>
      <c r="G552" s="1">
        <v>0</v>
      </c>
      <c r="H552" s="15">
        <v>0.8</v>
      </c>
      <c r="I552" s="1">
        <f t="shared" si="41"/>
        <v>0.5</v>
      </c>
      <c r="O552" s="18">
        <v>21</v>
      </c>
      <c r="Q552" s="1" t="s">
        <v>33</v>
      </c>
      <c r="R552" s="20" t="str">
        <f t="shared" si="38"/>
        <v>horizontal</v>
      </c>
      <c r="S552" s="19">
        <v>0</v>
      </c>
      <c r="T552" s="19">
        <v>0</v>
      </c>
      <c r="U552" s="19">
        <v>0</v>
      </c>
      <c r="V552" s="20">
        <v>0</v>
      </c>
      <c r="W552" s="20">
        <v>-1</v>
      </c>
      <c r="Z552" s="15">
        <v>100.106453101311</v>
      </c>
      <c r="AD552" s="1">
        <v>2.0719794344473002</v>
      </c>
      <c r="AE552" s="22" t="s">
        <v>69</v>
      </c>
      <c r="AF552" s="22"/>
    </row>
    <row r="553" spans="1:33" x14ac:dyDescent="0.2">
      <c r="A553" s="1">
        <v>735</v>
      </c>
      <c r="D553" s="1" t="s">
        <v>9</v>
      </c>
      <c r="E553" s="1" t="s">
        <v>25</v>
      </c>
      <c r="F553" s="15">
        <v>0.5</v>
      </c>
      <c r="G553" s="1">
        <v>0</v>
      </c>
      <c r="H553" s="15">
        <v>0.8</v>
      </c>
      <c r="I553" s="1">
        <f t="shared" si="41"/>
        <v>0.5</v>
      </c>
      <c r="O553" s="18">
        <v>30</v>
      </c>
      <c r="Q553" s="1" t="s">
        <v>33</v>
      </c>
      <c r="R553" s="20" t="str">
        <f t="shared" si="38"/>
        <v>horizontal</v>
      </c>
      <c r="S553" s="19">
        <v>0</v>
      </c>
      <c r="T553" s="19">
        <v>0</v>
      </c>
      <c r="U553" s="19">
        <v>0</v>
      </c>
      <c r="V553" s="20">
        <v>0</v>
      </c>
      <c r="W553" s="20">
        <v>-1</v>
      </c>
      <c r="Z553" s="15">
        <v>30.089573069901601</v>
      </c>
      <c r="AD553" s="1">
        <v>3.94344473007712</v>
      </c>
      <c r="AE553" s="22" t="s">
        <v>69</v>
      </c>
      <c r="AF553" s="22"/>
    </row>
    <row r="554" spans="1:33" x14ac:dyDescent="0.2">
      <c r="A554" s="1">
        <v>736</v>
      </c>
      <c r="D554" s="1" t="s">
        <v>9</v>
      </c>
      <c r="E554" s="1" t="s">
        <v>25</v>
      </c>
      <c r="F554" s="15">
        <v>0.5</v>
      </c>
      <c r="G554" s="1">
        <v>0</v>
      </c>
      <c r="H554" s="15">
        <v>0.8</v>
      </c>
      <c r="I554" s="1">
        <f t="shared" si="41"/>
        <v>0.5</v>
      </c>
      <c r="O554" s="18">
        <v>30</v>
      </c>
      <c r="Q554" s="1" t="s">
        <v>33</v>
      </c>
      <c r="R554" s="20" t="str">
        <f t="shared" si="38"/>
        <v>horizontal</v>
      </c>
      <c r="S554" s="19">
        <v>0</v>
      </c>
      <c r="T554" s="19">
        <v>0</v>
      </c>
      <c r="U554" s="19">
        <v>0</v>
      </c>
      <c r="V554" s="20">
        <v>0</v>
      </c>
      <c r="W554" s="20">
        <v>-1</v>
      </c>
      <c r="Z554" s="15">
        <v>40.077278446005401</v>
      </c>
      <c r="AD554" s="1">
        <v>3.91773778920308</v>
      </c>
      <c r="AE554" s="22" t="s">
        <v>69</v>
      </c>
      <c r="AF554" s="22"/>
    </row>
    <row r="555" spans="1:33" x14ac:dyDescent="0.2">
      <c r="A555" s="1">
        <v>737</v>
      </c>
      <c r="D555" s="1" t="s">
        <v>9</v>
      </c>
      <c r="E555" s="1" t="s">
        <v>25</v>
      </c>
      <c r="F555" s="15">
        <v>0.5</v>
      </c>
      <c r="G555" s="1">
        <v>0</v>
      </c>
      <c r="H555" s="15">
        <v>0.8</v>
      </c>
      <c r="I555" s="1">
        <f t="shared" si="41"/>
        <v>0.5</v>
      </c>
      <c r="O555" s="18">
        <v>30</v>
      </c>
      <c r="Q555" s="1" t="s">
        <v>33</v>
      </c>
      <c r="R555" s="20" t="str">
        <f t="shared" si="38"/>
        <v>horizontal</v>
      </c>
      <c r="S555" s="19">
        <v>0</v>
      </c>
      <c r="T555" s="19">
        <v>0</v>
      </c>
      <c r="U555" s="19">
        <v>0</v>
      </c>
      <c r="V555" s="20">
        <v>0</v>
      </c>
      <c r="W555" s="20">
        <v>-1</v>
      </c>
      <c r="Z555" s="15">
        <v>50.060398414595298</v>
      </c>
      <c r="AD555" s="1">
        <v>3.7892030848328999</v>
      </c>
      <c r="AE555" s="22" t="s">
        <v>69</v>
      </c>
      <c r="AF555" s="22"/>
    </row>
    <row r="556" spans="1:33" x14ac:dyDescent="0.2">
      <c r="A556" s="1">
        <v>738</v>
      </c>
      <c r="D556" s="1" t="s">
        <v>9</v>
      </c>
      <c r="E556" s="1" t="s">
        <v>25</v>
      </c>
      <c r="F556" s="15">
        <v>0.5</v>
      </c>
      <c r="G556" s="1">
        <v>0</v>
      </c>
      <c r="H556" s="15">
        <v>0.8</v>
      </c>
      <c r="I556" s="1">
        <f t="shared" si="41"/>
        <v>0.5</v>
      </c>
      <c r="O556" s="18">
        <v>30</v>
      </c>
      <c r="Q556" s="1" t="s">
        <v>33</v>
      </c>
      <c r="R556" s="20" t="str">
        <f t="shared" si="38"/>
        <v>horizontal</v>
      </c>
      <c r="S556" s="19">
        <v>0</v>
      </c>
      <c r="T556" s="19">
        <v>0</v>
      </c>
      <c r="U556" s="19">
        <v>0</v>
      </c>
      <c r="V556" s="20">
        <v>0</v>
      </c>
      <c r="W556" s="20">
        <v>-1</v>
      </c>
      <c r="Z556" s="15">
        <v>60.134997263084898</v>
      </c>
      <c r="AD556" s="1">
        <v>3.7120822622107901</v>
      </c>
      <c r="AE556" s="22" t="s">
        <v>69</v>
      </c>
      <c r="AF556" s="22"/>
    </row>
    <row r="557" spans="1:33" x14ac:dyDescent="0.2">
      <c r="A557" s="1">
        <v>739</v>
      </c>
      <c r="D557" s="1" t="s">
        <v>9</v>
      </c>
      <c r="E557" s="1" t="s">
        <v>25</v>
      </c>
      <c r="F557" s="15">
        <v>0.5</v>
      </c>
      <c r="G557" s="1">
        <v>0</v>
      </c>
      <c r="H557" s="15">
        <v>0.8</v>
      </c>
      <c r="I557" s="1">
        <f t="shared" si="41"/>
        <v>0.5</v>
      </c>
      <c r="O557" s="18">
        <v>30</v>
      </c>
      <c r="Q557" s="1" t="s">
        <v>33</v>
      </c>
      <c r="R557" s="20" t="str">
        <f t="shared" si="38"/>
        <v>horizontal</v>
      </c>
      <c r="S557" s="19">
        <v>0</v>
      </c>
      <c r="T557" s="19">
        <v>0</v>
      </c>
      <c r="U557" s="19">
        <v>0</v>
      </c>
      <c r="V557" s="20">
        <v>0</v>
      </c>
      <c r="W557" s="20">
        <v>-1</v>
      </c>
      <c r="Z557" s="15">
        <v>70.119722124304602</v>
      </c>
      <c r="AD557" s="1">
        <v>3.61953727506426</v>
      </c>
      <c r="AE557" s="22" t="s">
        <v>69</v>
      </c>
      <c r="AF557" s="22"/>
    </row>
    <row r="558" spans="1:33" x14ac:dyDescent="0.2">
      <c r="A558" s="1">
        <v>740</v>
      </c>
      <c r="D558" s="1" t="s">
        <v>9</v>
      </c>
      <c r="E558" s="1" t="s">
        <v>25</v>
      </c>
      <c r="F558" s="15">
        <v>0.5</v>
      </c>
      <c r="G558" s="1">
        <v>0</v>
      </c>
      <c r="H558" s="15">
        <v>0.8</v>
      </c>
      <c r="I558" s="1">
        <f t="shared" si="41"/>
        <v>0.5</v>
      </c>
      <c r="O558" s="18">
        <v>30</v>
      </c>
      <c r="Q558" s="1" t="s">
        <v>33</v>
      </c>
      <c r="R558" s="20" t="str">
        <f t="shared" si="38"/>
        <v>horizontal</v>
      </c>
      <c r="S558" s="19">
        <v>0</v>
      </c>
      <c r="T558" s="19">
        <v>0</v>
      </c>
      <c r="U558" s="19">
        <v>0</v>
      </c>
      <c r="V558" s="20">
        <v>0</v>
      </c>
      <c r="W558" s="20">
        <v>-1</v>
      </c>
      <c r="Z558" s="15">
        <v>80.111325096794999</v>
      </c>
      <c r="AD558" s="1">
        <v>3.6812339331619501</v>
      </c>
      <c r="AE558" s="22" t="s">
        <v>69</v>
      </c>
      <c r="AF558" s="22"/>
    </row>
    <row r="559" spans="1:33" x14ac:dyDescent="0.2">
      <c r="A559" s="1">
        <v>741</v>
      </c>
      <c r="D559" s="1" t="s">
        <v>9</v>
      </c>
      <c r="E559" s="1" t="s">
        <v>25</v>
      </c>
      <c r="F559" s="15">
        <v>0.5</v>
      </c>
      <c r="G559" s="1">
        <v>0</v>
      </c>
      <c r="H559" s="15">
        <v>0.8</v>
      </c>
      <c r="I559" s="1">
        <f t="shared" si="41"/>
        <v>0.5</v>
      </c>
      <c r="O559" s="18">
        <v>30</v>
      </c>
      <c r="Q559" s="1" t="s">
        <v>33</v>
      </c>
      <c r="R559" s="20" t="str">
        <f t="shared" si="38"/>
        <v>horizontal</v>
      </c>
      <c r="S559" s="19">
        <v>0</v>
      </c>
      <c r="T559" s="19">
        <v>0</v>
      </c>
      <c r="U559" s="19">
        <v>0</v>
      </c>
      <c r="V559" s="20">
        <v>0</v>
      </c>
      <c r="W559" s="20">
        <v>-1</v>
      </c>
      <c r="Z559" s="15">
        <v>90.099259743274501</v>
      </c>
      <c r="AD559" s="1">
        <v>3.6606683804627198</v>
      </c>
      <c r="AE559" s="22" t="s">
        <v>69</v>
      </c>
      <c r="AF559" s="22"/>
    </row>
    <row r="560" spans="1:33" s="4" customFormat="1" x14ac:dyDescent="0.2">
      <c r="A560" s="1">
        <v>742</v>
      </c>
      <c r="B560" s="52"/>
      <c r="D560" s="4" t="s">
        <v>9</v>
      </c>
      <c r="E560" s="4" t="s">
        <v>25</v>
      </c>
      <c r="F560" s="53">
        <v>0.5</v>
      </c>
      <c r="G560" s="4">
        <v>0</v>
      </c>
      <c r="H560" s="53">
        <v>0.8</v>
      </c>
      <c r="I560" s="4">
        <f t="shared" si="41"/>
        <v>0.5</v>
      </c>
      <c r="J560" s="54"/>
      <c r="K560" s="54"/>
      <c r="L560" s="54"/>
      <c r="M560" s="55"/>
      <c r="N560" s="56"/>
      <c r="O560" s="56">
        <v>30</v>
      </c>
      <c r="P560" s="57"/>
      <c r="Q560" s="1" t="s">
        <v>33</v>
      </c>
      <c r="R560" s="20" t="str">
        <f t="shared" si="38"/>
        <v>horizontal</v>
      </c>
      <c r="S560" s="58">
        <v>0</v>
      </c>
      <c r="T560" s="58">
        <v>0</v>
      </c>
      <c r="U560" s="58">
        <v>0</v>
      </c>
      <c r="V560" s="59">
        <v>0</v>
      </c>
      <c r="W560" s="59">
        <v>-1</v>
      </c>
      <c r="Y560" s="56"/>
      <c r="Z560" s="53">
        <v>100.17546348439301</v>
      </c>
      <c r="AA560" s="54"/>
      <c r="AB560" s="54"/>
      <c r="AC560" s="54"/>
      <c r="AD560" s="4">
        <v>3.61953727506426</v>
      </c>
      <c r="AE560" s="60" t="s">
        <v>69</v>
      </c>
      <c r="AF560" s="22"/>
    </row>
    <row r="561" spans="1:32" s="3" customFormat="1" x14ac:dyDescent="0.2">
      <c r="A561" s="1">
        <v>743</v>
      </c>
      <c r="B561" s="47"/>
      <c r="D561" s="3" t="s">
        <v>9</v>
      </c>
      <c r="E561" s="3" t="s">
        <v>71</v>
      </c>
      <c r="F561" s="34">
        <v>0.5</v>
      </c>
      <c r="G561" s="3">
        <v>0</v>
      </c>
      <c r="H561" s="34">
        <v>0.8</v>
      </c>
      <c r="I561" s="3">
        <f t="shared" si="41"/>
        <v>0.5</v>
      </c>
      <c r="J561" s="48"/>
      <c r="K561" s="48"/>
      <c r="L561" s="48"/>
      <c r="M561" s="49"/>
      <c r="N561" s="50"/>
      <c r="O561" s="50">
        <v>35</v>
      </c>
      <c r="P561" s="51"/>
      <c r="Q561" s="1" t="s">
        <v>33</v>
      </c>
      <c r="R561" s="20" t="str">
        <f t="shared" si="38"/>
        <v>horizontal</v>
      </c>
      <c r="S561" s="35">
        <v>0</v>
      </c>
      <c r="T561" s="35">
        <v>0</v>
      </c>
      <c r="U561" s="35">
        <v>0</v>
      </c>
      <c r="V561" s="36">
        <v>0</v>
      </c>
      <c r="W561" s="36">
        <v>-1</v>
      </c>
      <c r="Y561" s="50"/>
      <c r="Z561" s="34">
        <v>39.8986748377881</v>
      </c>
      <c r="AA561" s="48"/>
      <c r="AB561" s="48"/>
      <c r="AC561" s="48"/>
      <c r="AD561" s="3">
        <v>1.7183770883054801</v>
      </c>
      <c r="AE561" s="37" t="s">
        <v>70</v>
      </c>
      <c r="AF561" s="22"/>
    </row>
    <row r="562" spans="1:32" x14ac:dyDescent="0.2">
      <c r="A562" s="1">
        <v>744</v>
      </c>
      <c r="D562" s="1" t="s">
        <v>9</v>
      </c>
      <c r="E562" s="1" t="s">
        <v>71</v>
      </c>
      <c r="F562" s="15">
        <v>0.5</v>
      </c>
      <c r="G562" s="1">
        <v>0</v>
      </c>
      <c r="H562" s="15">
        <v>0.8</v>
      </c>
      <c r="I562" s="1">
        <f t="shared" si="41"/>
        <v>0.5</v>
      </c>
      <c r="O562" s="18">
        <v>35</v>
      </c>
      <c r="Q562" s="1" t="s">
        <v>33</v>
      </c>
      <c r="R562" s="20" t="str">
        <f t="shared" si="38"/>
        <v>horizontal</v>
      </c>
      <c r="S562" s="19">
        <v>0</v>
      </c>
      <c r="T562" s="19">
        <v>0</v>
      </c>
      <c r="U562" s="19">
        <v>0</v>
      </c>
      <c r="V562" s="20">
        <v>0</v>
      </c>
      <c r="W562" s="20">
        <v>-1</v>
      </c>
      <c r="Z562" s="15">
        <v>49.925532109699702</v>
      </c>
      <c r="AD562" s="1">
        <v>1.7004773269689699</v>
      </c>
      <c r="AE562" s="22" t="s">
        <v>70</v>
      </c>
      <c r="AF562" s="22"/>
    </row>
    <row r="563" spans="1:32" x14ac:dyDescent="0.2">
      <c r="A563" s="1">
        <v>745</v>
      </c>
      <c r="D563" s="1" t="s">
        <v>9</v>
      </c>
      <c r="E563" s="1" t="s">
        <v>71</v>
      </c>
      <c r="F563" s="15">
        <v>0.5</v>
      </c>
      <c r="G563" s="1">
        <v>0</v>
      </c>
      <c r="H563" s="15">
        <v>0.8</v>
      </c>
      <c r="I563" s="1">
        <f t="shared" si="41"/>
        <v>0.5</v>
      </c>
      <c r="O563" s="18">
        <v>35</v>
      </c>
      <c r="Q563" s="1" t="s">
        <v>33</v>
      </c>
      <c r="R563" s="20" t="str">
        <f t="shared" si="38"/>
        <v>horizontal</v>
      </c>
      <c r="S563" s="19">
        <v>0</v>
      </c>
      <c r="T563" s="19">
        <v>0</v>
      </c>
      <c r="U563" s="19">
        <v>0</v>
      </c>
      <c r="V563" s="20">
        <v>0</v>
      </c>
      <c r="W563" s="20">
        <v>-1</v>
      </c>
      <c r="Z563" s="15">
        <v>60.051517130666703</v>
      </c>
      <c r="AD563" s="1">
        <v>1.54832935560859</v>
      </c>
      <c r="AE563" s="22" t="s">
        <v>70</v>
      </c>
      <c r="AF563" s="22"/>
    </row>
    <row r="564" spans="1:32" x14ac:dyDescent="0.2">
      <c r="A564" s="1">
        <v>746</v>
      </c>
      <c r="D564" s="1" t="s">
        <v>9</v>
      </c>
      <c r="E564" s="1" t="s">
        <v>71</v>
      </c>
      <c r="F564" s="15">
        <v>0.5</v>
      </c>
      <c r="G564" s="1">
        <v>0</v>
      </c>
      <c r="H564" s="15">
        <v>0.8</v>
      </c>
      <c r="I564" s="1">
        <f t="shared" si="41"/>
        <v>0.5</v>
      </c>
      <c r="O564" s="18">
        <v>35</v>
      </c>
      <c r="Q564" s="1" t="s">
        <v>33</v>
      </c>
      <c r="R564" s="20" t="str">
        <f t="shared" si="38"/>
        <v>horizontal</v>
      </c>
      <c r="S564" s="19">
        <v>0</v>
      </c>
      <c r="T564" s="19">
        <v>0</v>
      </c>
      <c r="U564" s="19">
        <v>0</v>
      </c>
      <c r="V564" s="20">
        <v>0</v>
      </c>
      <c r="W564" s="20">
        <v>-1</v>
      </c>
      <c r="Z564" s="15">
        <v>69.986296687399602</v>
      </c>
      <c r="AD564" s="1">
        <v>1.5662291169450999</v>
      </c>
      <c r="AE564" s="22" t="s">
        <v>70</v>
      </c>
      <c r="AF564" s="22"/>
    </row>
    <row r="565" spans="1:32" x14ac:dyDescent="0.2">
      <c r="A565" s="1">
        <v>747</v>
      </c>
      <c r="D565" s="1" t="s">
        <v>9</v>
      </c>
      <c r="E565" s="1" t="s">
        <v>71</v>
      </c>
      <c r="F565" s="15">
        <v>0.5</v>
      </c>
      <c r="G565" s="1">
        <v>0</v>
      </c>
      <c r="H565" s="15">
        <v>0.8</v>
      </c>
      <c r="I565" s="1">
        <f t="shared" si="41"/>
        <v>0.5</v>
      </c>
      <c r="O565" s="18">
        <v>35</v>
      </c>
      <c r="Q565" s="1" t="s">
        <v>33</v>
      </c>
      <c r="R565" s="20" t="str">
        <f t="shared" si="38"/>
        <v>horizontal</v>
      </c>
      <c r="S565" s="19">
        <v>0</v>
      </c>
      <c r="T565" s="19">
        <v>0</v>
      </c>
      <c r="U565" s="19">
        <v>0</v>
      </c>
      <c r="V565" s="20">
        <v>0</v>
      </c>
      <c r="W565" s="20">
        <v>-1</v>
      </c>
      <c r="Z565" s="15">
        <v>79.925135354546498</v>
      </c>
      <c r="AD565" s="1">
        <v>1.52744630071599</v>
      </c>
      <c r="AE565" s="22" t="s">
        <v>70</v>
      </c>
      <c r="AF565" s="22"/>
    </row>
    <row r="566" spans="1:32" x14ac:dyDescent="0.2">
      <c r="A566" s="1">
        <v>748</v>
      </c>
      <c r="D566" s="1" t="s">
        <v>9</v>
      </c>
      <c r="E566" s="1" t="s">
        <v>71</v>
      </c>
      <c r="F566" s="15">
        <v>0.5</v>
      </c>
      <c r="G566" s="1">
        <v>0</v>
      </c>
      <c r="H566" s="15">
        <v>0.8</v>
      </c>
      <c r="I566" s="1">
        <f t="shared" si="41"/>
        <v>0.5</v>
      </c>
      <c r="O566" s="18">
        <v>35</v>
      </c>
      <c r="Q566" s="1" t="s">
        <v>33</v>
      </c>
      <c r="R566" s="20" t="str">
        <f t="shared" si="38"/>
        <v>horizontal</v>
      </c>
      <c r="S566" s="19">
        <v>0</v>
      </c>
      <c r="T566" s="19">
        <v>0</v>
      </c>
      <c r="U566" s="19">
        <v>0</v>
      </c>
      <c r="V566" s="20">
        <v>0</v>
      </c>
      <c r="W566" s="20">
        <v>-1</v>
      </c>
      <c r="Z566" s="15">
        <v>89.957333561213204</v>
      </c>
      <c r="AD566" s="1">
        <v>1.43496420047732</v>
      </c>
      <c r="AE566" s="22" t="s">
        <v>70</v>
      </c>
      <c r="AF566" s="22"/>
    </row>
    <row r="567" spans="1:32" x14ac:dyDescent="0.2">
      <c r="A567" s="1">
        <v>749</v>
      </c>
      <c r="D567" s="1" t="s">
        <v>9</v>
      </c>
      <c r="E567" s="1" t="s">
        <v>71</v>
      </c>
      <c r="F567" s="15">
        <v>0.5</v>
      </c>
      <c r="G567" s="1">
        <v>0</v>
      </c>
      <c r="H567" s="15">
        <v>0.8</v>
      </c>
      <c r="I567" s="1">
        <f t="shared" si="41"/>
        <v>0.5</v>
      </c>
      <c r="O567" s="18">
        <v>35</v>
      </c>
      <c r="Q567" s="1" t="s">
        <v>33</v>
      </c>
      <c r="R567" s="20" t="str">
        <f t="shared" si="38"/>
        <v>horizontal</v>
      </c>
      <c r="S567" s="19">
        <v>0</v>
      </c>
      <c r="T567" s="19">
        <v>0</v>
      </c>
      <c r="U567" s="19">
        <v>0</v>
      </c>
      <c r="V567" s="20">
        <v>0</v>
      </c>
      <c r="W567" s="20">
        <v>-1</v>
      </c>
      <c r="Z567" s="15">
        <v>99.983336283563901</v>
      </c>
      <c r="AD567" s="1">
        <v>1.4289976133651501</v>
      </c>
      <c r="AE567" s="22" t="s">
        <v>70</v>
      </c>
      <c r="AF567" s="22"/>
    </row>
    <row r="568" spans="1:32" x14ac:dyDescent="0.2">
      <c r="A568" s="1">
        <v>750</v>
      </c>
      <c r="D568" s="1" t="s">
        <v>9</v>
      </c>
      <c r="E568" s="1" t="s">
        <v>71</v>
      </c>
      <c r="F568" s="15">
        <v>0.5</v>
      </c>
      <c r="G568" s="1">
        <v>0</v>
      </c>
      <c r="H568" s="15">
        <v>0.8</v>
      </c>
      <c r="I568" s="1">
        <f t="shared" si="41"/>
        <v>0.5</v>
      </c>
      <c r="O568" s="18">
        <v>50</v>
      </c>
      <c r="Q568" s="1" t="s">
        <v>33</v>
      </c>
      <c r="R568" s="20" t="str">
        <f t="shared" si="38"/>
        <v>horizontal</v>
      </c>
      <c r="S568" s="19">
        <v>0</v>
      </c>
      <c r="T568" s="19">
        <v>0</v>
      </c>
      <c r="U568" s="19">
        <v>0</v>
      </c>
      <c r="V568" s="20">
        <v>0</v>
      </c>
      <c r="W568" s="20">
        <v>-1</v>
      </c>
      <c r="Z568" s="15">
        <v>39.849110963260401</v>
      </c>
      <c r="AD568" s="1">
        <v>2.4105011933174199</v>
      </c>
      <c r="AE568" s="22" t="s">
        <v>70</v>
      </c>
      <c r="AF568" s="22"/>
    </row>
    <row r="569" spans="1:32" x14ac:dyDescent="0.2">
      <c r="A569" s="1">
        <v>751</v>
      </c>
      <c r="D569" s="1" t="s">
        <v>9</v>
      </c>
      <c r="E569" s="1" t="s">
        <v>71</v>
      </c>
      <c r="F569" s="15">
        <v>0.5</v>
      </c>
      <c r="G569" s="1">
        <v>0</v>
      </c>
      <c r="H569" s="15">
        <v>0.8</v>
      </c>
      <c r="I569" s="1">
        <f t="shared" si="41"/>
        <v>0.5</v>
      </c>
      <c r="O569" s="18">
        <v>50</v>
      </c>
      <c r="Q569" s="1" t="s">
        <v>33</v>
      </c>
      <c r="R569" s="20" t="str">
        <f t="shared" si="38"/>
        <v>horizontal</v>
      </c>
      <c r="S569" s="19">
        <v>0</v>
      </c>
      <c r="T569" s="19">
        <v>0</v>
      </c>
      <c r="U569" s="19">
        <v>0</v>
      </c>
      <c r="V569" s="20">
        <v>0</v>
      </c>
      <c r="W569" s="20">
        <v>-1</v>
      </c>
      <c r="Z569" s="15">
        <v>49.878959158634899</v>
      </c>
      <c r="AD569" s="1">
        <v>2.3508353221956999</v>
      </c>
      <c r="AE569" s="22" t="s">
        <v>70</v>
      </c>
      <c r="AF569" s="22"/>
    </row>
    <row r="570" spans="1:32" x14ac:dyDescent="0.2">
      <c r="A570" s="1">
        <v>752</v>
      </c>
      <c r="D570" s="1" t="s">
        <v>9</v>
      </c>
      <c r="E570" s="1" t="s">
        <v>71</v>
      </c>
      <c r="F570" s="15">
        <v>0.5</v>
      </c>
      <c r="G570" s="1">
        <v>0</v>
      </c>
      <c r="H570" s="15">
        <v>0.8</v>
      </c>
      <c r="I570" s="1">
        <f t="shared" si="41"/>
        <v>0.5</v>
      </c>
      <c r="O570" s="18">
        <v>50</v>
      </c>
      <c r="Q570" s="1" t="s">
        <v>33</v>
      </c>
      <c r="R570" s="20" t="str">
        <f t="shared" si="38"/>
        <v>horizontal</v>
      </c>
      <c r="S570" s="19">
        <v>0</v>
      </c>
      <c r="T570" s="19">
        <v>0</v>
      </c>
      <c r="U570" s="19">
        <v>0</v>
      </c>
      <c r="V570" s="20">
        <v>0</v>
      </c>
      <c r="W570" s="20">
        <v>-1</v>
      </c>
      <c r="Z570" s="15">
        <v>59.907525529668099</v>
      </c>
      <c r="AD570" s="1">
        <v>2.3090692124104999</v>
      </c>
      <c r="AE570" s="22" t="s">
        <v>70</v>
      </c>
      <c r="AF570" s="22"/>
    </row>
    <row r="571" spans="1:32" x14ac:dyDescent="0.2">
      <c r="A571" s="1">
        <v>753</v>
      </c>
      <c r="D571" s="1" t="s">
        <v>9</v>
      </c>
      <c r="E571" s="1" t="s">
        <v>71</v>
      </c>
      <c r="F571" s="15">
        <v>0.5</v>
      </c>
      <c r="G571" s="1">
        <v>0</v>
      </c>
      <c r="H571" s="15">
        <v>0.8</v>
      </c>
      <c r="I571" s="1">
        <f t="shared" si="41"/>
        <v>0.5</v>
      </c>
      <c r="O571" s="18">
        <v>50</v>
      </c>
      <c r="Q571" s="1" t="s">
        <v>33</v>
      </c>
      <c r="R571" s="20" t="str">
        <f t="shared" si="38"/>
        <v>horizontal</v>
      </c>
      <c r="S571" s="19">
        <v>0</v>
      </c>
      <c r="T571" s="19">
        <v>0</v>
      </c>
      <c r="U571" s="19">
        <v>0</v>
      </c>
      <c r="V571" s="20">
        <v>0</v>
      </c>
      <c r="W571" s="20">
        <v>-1</v>
      </c>
      <c r="Z571" s="15">
        <v>69.933528252018803</v>
      </c>
      <c r="AD571" s="1">
        <v>2.3031026252983202</v>
      </c>
      <c r="AE571" s="22" t="s">
        <v>70</v>
      </c>
      <c r="AF571" s="22"/>
    </row>
    <row r="572" spans="1:32" x14ac:dyDescent="0.2">
      <c r="A572" s="1">
        <v>754</v>
      </c>
      <c r="D572" s="1" t="s">
        <v>9</v>
      </c>
      <c r="E572" s="1" t="s">
        <v>71</v>
      </c>
      <c r="F572" s="15">
        <v>0.5</v>
      </c>
      <c r="G572" s="1">
        <v>0</v>
      </c>
      <c r="H572" s="15">
        <v>0.8</v>
      </c>
      <c r="I572" s="1">
        <f t="shared" si="41"/>
        <v>0.5</v>
      </c>
      <c r="O572" s="18">
        <v>50</v>
      </c>
      <c r="Q572" s="1" t="s">
        <v>33</v>
      </c>
      <c r="R572" s="20" t="str">
        <f t="shared" si="38"/>
        <v>horizontal</v>
      </c>
      <c r="S572" s="19">
        <v>0</v>
      </c>
      <c r="T572" s="19">
        <v>0</v>
      </c>
      <c r="U572" s="19">
        <v>0</v>
      </c>
      <c r="V572" s="20">
        <v>0</v>
      </c>
      <c r="W572" s="20">
        <v>-1</v>
      </c>
      <c r="Z572" s="15">
        <v>79.957180963077306</v>
      </c>
      <c r="AD572" s="1">
        <v>2.3299522673031001</v>
      </c>
      <c r="AE572" s="22" t="s">
        <v>70</v>
      </c>
      <c r="AF572" s="22"/>
    </row>
    <row r="573" spans="1:32" x14ac:dyDescent="0.2">
      <c r="A573" s="1">
        <v>755</v>
      </c>
      <c r="D573" s="1" t="s">
        <v>9</v>
      </c>
      <c r="E573" s="1" t="s">
        <v>71</v>
      </c>
      <c r="F573" s="15">
        <v>0.5</v>
      </c>
      <c r="G573" s="1">
        <v>0</v>
      </c>
      <c r="H573" s="15">
        <v>0.8</v>
      </c>
      <c r="I573" s="1">
        <f t="shared" si="41"/>
        <v>0.5</v>
      </c>
      <c r="O573" s="18">
        <v>50</v>
      </c>
      <c r="Q573" s="1" t="s">
        <v>33</v>
      </c>
      <c r="R573" s="20" t="str">
        <f t="shared" si="38"/>
        <v>horizontal</v>
      </c>
      <c r="S573" s="19">
        <v>0</v>
      </c>
      <c r="T573" s="19">
        <v>0</v>
      </c>
      <c r="U573" s="19">
        <v>0</v>
      </c>
      <c r="V573" s="20">
        <v>0</v>
      </c>
      <c r="W573" s="20">
        <v>-1</v>
      </c>
      <c r="Z573" s="15">
        <v>89.899010553687006</v>
      </c>
      <c r="AD573" s="1">
        <v>2.2494033412887799</v>
      </c>
      <c r="AE573" s="22" t="s">
        <v>70</v>
      </c>
      <c r="AF573" s="22"/>
    </row>
    <row r="574" spans="1:32" s="5" customFormat="1" ht="16" thickBot="1" x14ac:dyDescent="0.25">
      <c r="A574" s="1">
        <v>756</v>
      </c>
      <c r="B574" s="24"/>
      <c r="D574" s="5" t="s">
        <v>9</v>
      </c>
      <c r="E574" s="5" t="s">
        <v>71</v>
      </c>
      <c r="F574" s="25">
        <v>0.5</v>
      </c>
      <c r="G574" s="5">
        <v>0</v>
      </c>
      <c r="H574" s="25">
        <v>0.8</v>
      </c>
      <c r="I574" s="5">
        <f t="shared" si="41"/>
        <v>0.5</v>
      </c>
      <c r="J574" s="26"/>
      <c r="K574" s="26"/>
      <c r="L574" s="26"/>
      <c r="M574" s="27"/>
      <c r="N574" s="28"/>
      <c r="O574" s="28">
        <v>50</v>
      </c>
      <c r="P574" s="29"/>
      <c r="Q574" s="1" t="s">
        <v>33</v>
      </c>
      <c r="R574" s="20" t="str">
        <f t="shared" si="38"/>
        <v>horizontal</v>
      </c>
      <c r="S574" s="30">
        <v>0</v>
      </c>
      <c r="T574" s="30">
        <v>0</v>
      </c>
      <c r="U574" s="30">
        <v>0</v>
      </c>
      <c r="V574" s="31">
        <v>0</v>
      </c>
      <c r="W574" s="31">
        <v>-1</v>
      </c>
      <c r="Y574" s="28"/>
      <c r="Z574" s="25">
        <v>99.925226913428006</v>
      </c>
      <c r="AA574" s="26"/>
      <c r="AB574" s="26"/>
      <c r="AC574" s="26"/>
      <c r="AD574" s="5">
        <v>2.24045346062052</v>
      </c>
      <c r="AE574" s="33" t="s">
        <v>70</v>
      </c>
      <c r="AF574" s="22"/>
    </row>
    <row r="575" spans="1:32" s="3" customFormat="1" x14ac:dyDescent="0.2">
      <c r="A575" s="1">
        <v>757</v>
      </c>
      <c r="B575" s="47"/>
      <c r="D575" s="3" t="s">
        <v>9</v>
      </c>
      <c r="E575" s="3" t="s">
        <v>25</v>
      </c>
      <c r="F575" s="34">
        <v>0.5</v>
      </c>
      <c r="G575" s="3">
        <v>0</v>
      </c>
      <c r="H575" s="34">
        <v>0.8</v>
      </c>
      <c r="I575" s="3">
        <f t="shared" si="41"/>
        <v>0.5</v>
      </c>
      <c r="J575" s="48"/>
      <c r="K575" s="48"/>
      <c r="L575" s="48"/>
      <c r="M575" s="49"/>
      <c r="N575" s="50"/>
      <c r="O575" s="50">
        <v>21</v>
      </c>
      <c r="P575" s="51"/>
      <c r="Q575" s="1" t="s">
        <v>33</v>
      </c>
      <c r="R575" s="20" t="str">
        <f t="shared" si="38"/>
        <v>horizontal</v>
      </c>
      <c r="S575" s="35">
        <v>0</v>
      </c>
      <c r="T575" s="35">
        <v>0</v>
      </c>
      <c r="U575" s="35">
        <v>0</v>
      </c>
      <c r="V575" s="36">
        <v>0</v>
      </c>
      <c r="W575" s="36">
        <v>-1.0000000000000001E-5</v>
      </c>
      <c r="Y575" s="50"/>
      <c r="Z575" s="34">
        <v>101</v>
      </c>
      <c r="AA575" s="48"/>
      <c r="AB575" s="48"/>
      <c r="AC575" s="48"/>
      <c r="AD575" s="3">
        <v>1.81534437949382</v>
      </c>
      <c r="AE575" s="37" t="s">
        <v>72</v>
      </c>
      <c r="AF575" s="22"/>
    </row>
    <row r="576" spans="1:32" x14ac:dyDescent="0.2">
      <c r="A576" s="1">
        <v>758</v>
      </c>
      <c r="D576" s="1" t="s">
        <v>9</v>
      </c>
      <c r="E576" s="1" t="s">
        <v>25</v>
      </c>
      <c r="F576" s="15">
        <v>0.5</v>
      </c>
      <c r="G576" s="1">
        <v>0</v>
      </c>
      <c r="H576" s="15">
        <v>0.8</v>
      </c>
      <c r="I576" s="1">
        <f t="shared" si="41"/>
        <v>0.5</v>
      </c>
      <c r="O576" s="18">
        <v>21</v>
      </c>
      <c r="Q576" s="1" t="s">
        <v>1</v>
      </c>
      <c r="R576" s="20" t="str">
        <f t="shared" si="38"/>
        <v>horizontal</v>
      </c>
      <c r="S576" s="19">
        <v>-1.2658129258114399E-2</v>
      </c>
      <c r="T576" s="19">
        <v>0</v>
      </c>
      <c r="U576" s="19">
        <v>0</v>
      </c>
      <c r="V576" s="20">
        <v>0</v>
      </c>
      <c r="W576" s="20">
        <v>-1.0000000000000001E-5</v>
      </c>
      <c r="Z576" s="15">
        <v>101</v>
      </c>
      <c r="AD576" s="1">
        <v>1.5760496175383001</v>
      </c>
      <c r="AE576" s="22" t="s">
        <v>72</v>
      </c>
      <c r="AF576" s="22"/>
    </row>
    <row r="577" spans="1:32" x14ac:dyDescent="0.2">
      <c r="A577" s="1">
        <v>759</v>
      </c>
      <c r="D577" s="1" t="s">
        <v>9</v>
      </c>
      <c r="E577" s="1" t="s">
        <v>25</v>
      </c>
      <c r="F577" s="15">
        <v>0.5</v>
      </c>
      <c r="G577" s="1">
        <v>0</v>
      </c>
      <c r="H577" s="15">
        <v>0.8</v>
      </c>
      <c r="I577" s="1">
        <f t="shared" si="41"/>
        <v>0.5</v>
      </c>
      <c r="O577" s="18">
        <v>21</v>
      </c>
      <c r="Q577" s="1" t="s">
        <v>1</v>
      </c>
      <c r="R577" s="20" t="str">
        <f t="shared" si="38"/>
        <v>horizontal</v>
      </c>
      <c r="S577" s="19">
        <v>-5.16077328589113E-2</v>
      </c>
      <c r="T577" s="19">
        <v>0</v>
      </c>
      <c r="U577" s="19">
        <v>0</v>
      </c>
      <c r="V577" s="20">
        <v>0</v>
      </c>
      <c r="W577" s="20">
        <v>-1.0000000000000001E-5</v>
      </c>
      <c r="Z577" s="15">
        <v>101</v>
      </c>
      <c r="AD577" s="1">
        <v>1.8174145097685499</v>
      </c>
      <c r="AE577" s="22" t="s">
        <v>72</v>
      </c>
      <c r="AF577" s="22"/>
    </row>
    <row r="578" spans="1:32" x14ac:dyDescent="0.2">
      <c r="A578" s="1">
        <v>760</v>
      </c>
      <c r="D578" s="1" t="s">
        <v>9</v>
      </c>
      <c r="E578" s="1" t="s">
        <v>25</v>
      </c>
      <c r="F578" s="15">
        <v>0.5</v>
      </c>
      <c r="G578" s="1">
        <v>0</v>
      </c>
      <c r="H578" s="15">
        <v>0.8</v>
      </c>
      <c r="I578" s="1">
        <f t="shared" si="41"/>
        <v>0.5</v>
      </c>
      <c r="O578" s="18">
        <v>21</v>
      </c>
      <c r="Q578" s="1" t="s">
        <v>1</v>
      </c>
      <c r="R578" s="20" t="str">
        <f t="shared" si="38"/>
        <v>horizontal</v>
      </c>
      <c r="S578" s="19">
        <v>-5.2105793905208503E-2</v>
      </c>
      <c r="T578" s="19">
        <v>0</v>
      </c>
      <c r="U578" s="19">
        <v>0</v>
      </c>
      <c r="V578" s="20">
        <v>0</v>
      </c>
      <c r="W578" s="20">
        <v>-1.0000000000000001E-5</v>
      </c>
      <c r="Z578" s="15">
        <v>101</v>
      </c>
      <c r="AD578" s="1">
        <v>1.9613193083715199</v>
      </c>
      <c r="AE578" s="22" t="s">
        <v>72</v>
      </c>
      <c r="AF578" s="22"/>
    </row>
    <row r="579" spans="1:32" x14ac:dyDescent="0.2">
      <c r="A579" s="1">
        <v>761</v>
      </c>
      <c r="D579" s="1" t="s">
        <v>9</v>
      </c>
      <c r="E579" s="1" t="s">
        <v>25</v>
      </c>
      <c r="F579" s="15">
        <v>0.5</v>
      </c>
      <c r="G579" s="1">
        <v>0</v>
      </c>
      <c r="H579" s="15">
        <v>0.8</v>
      </c>
      <c r="I579" s="1">
        <f t="shared" si="41"/>
        <v>0.5</v>
      </c>
      <c r="O579" s="18">
        <v>21</v>
      </c>
      <c r="Q579" s="1" t="s">
        <v>1</v>
      </c>
      <c r="R579" s="20" t="str">
        <f t="shared" si="38"/>
        <v>horizontal</v>
      </c>
      <c r="S579" s="19">
        <v>-9.060406811343491E-2</v>
      </c>
      <c r="T579" s="19">
        <v>0</v>
      </c>
      <c r="U579" s="19">
        <v>0</v>
      </c>
      <c r="V579" s="20">
        <v>0</v>
      </c>
      <c r="W579" s="20">
        <v>-1.0000000000000001E-5</v>
      </c>
      <c r="Z579" s="15">
        <v>101</v>
      </c>
      <c r="AD579" s="1">
        <v>1.6031457781640099</v>
      </c>
      <c r="AE579" s="22" t="s">
        <v>72</v>
      </c>
      <c r="AF579" s="22"/>
    </row>
    <row r="580" spans="1:32" x14ac:dyDescent="0.2">
      <c r="A580" s="1">
        <v>762</v>
      </c>
      <c r="D580" s="1" t="s">
        <v>9</v>
      </c>
      <c r="E580" s="1" t="s">
        <v>25</v>
      </c>
      <c r="F580" s="15">
        <v>0.5</v>
      </c>
      <c r="G580" s="1">
        <v>0</v>
      </c>
      <c r="H580" s="15">
        <v>0.8</v>
      </c>
      <c r="I580" s="1">
        <f t="shared" si="41"/>
        <v>0.5</v>
      </c>
      <c r="O580" s="18">
        <v>35</v>
      </c>
      <c r="Q580" s="1" t="s">
        <v>33</v>
      </c>
      <c r="R580" s="20" t="str">
        <f t="shared" ref="R580:R643" si="42">R579</f>
        <v>horizontal</v>
      </c>
      <c r="S580" s="19">
        <v>0</v>
      </c>
      <c r="T580" s="19">
        <v>0</v>
      </c>
      <c r="U580" s="19">
        <v>0</v>
      </c>
      <c r="V580" s="20">
        <v>0</v>
      </c>
      <c r="W580" s="20">
        <v>-1.0000000000000001E-5</v>
      </c>
      <c r="Z580" s="15">
        <v>101</v>
      </c>
      <c r="AD580" s="1">
        <v>2.7505923442073201</v>
      </c>
      <c r="AE580" s="22" t="s">
        <v>72</v>
      </c>
      <c r="AF580" s="22"/>
    </row>
    <row r="581" spans="1:32" x14ac:dyDescent="0.2">
      <c r="A581" s="1">
        <v>763</v>
      </c>
      <c r="D581" s="1" t="s">
        <v>9</v>
      </c>
      <c r="E581" s="1" t="s">
        <v>25</v>
      </c>
      <c r="F581" s="15">
        <v>0.5</v>
      </c>
      <c r="G581" s="1">
        <v>0</v>
      </c>
      <c r="H581" s="15">
        <v>0.8</v>
      </c>
      <c r="I581" s="1">
        <f t="shared" si="41"/>
        <v>0.5</v>
      </c>
      <c r="O581" s="18">
        <v>35</v>
      </c>
      <c r="Q581" s="1" t="s">
        <v>1</v>
      </c>
      <c r="R581" s="20" t="str">
        <f t="shared" si="42"/>
        <v>horizontal</v>
      </c>
      <c r="S581" s="19">
        <v>-1.2505636493322201E-2</v>
      </c>
      <c r="T581" s="19">
        <v>0</v>
      </c>
      <c r="U581" s="19">
        <v>0</v>
      </c>
      <c r="V581" s="20">
        <v>0</v>
      </c>
      <c r="W581" s="20">
        <v>-1.0000000000000001E-5</v>
      </c>
      <c r="Z581" s="15">
        <v>101</v>
      </c>
      <c r="AD581" s="1">
        <v>3.0628540742623298</v>
      </c>
      <c r="AE581" s="22" t="s">
        <v>72</v>
      </c>
      <c r="AF581" s="22"/>
    </row>
    <row r="582" spans="1:32" x14ac:dyDescent="0.2">
      <c r="A582" s="1">
        <v>764</v>
      </c>
      <c r="D582" s="1" t="s">
        <v>9</v>
      </c>
      <c r="E582" s="1" t="s">
        <v>25</v>
      </c>
      <c r="F582" s="15">
        <v>0.5</v>
      </c>
      <c r="G582" s="1">
        <v>0</v>
      </c>
      <c r="H582" s="15">
        <v>0.8</v>
      </c>
      <c r="I582" s="1">
        <f t="shared" si="41"/>
        <v>0.5</v>
      </c>
      <c r="O582" s="18">
        <v>35</v>
      </c>
      <c r="Q582" s="1" t="s">
        <v>1</v>
      </c>
      <c r="R582" s="20" t="str">
        <f t="shared" si="42"/>
        <v>horizontal</v>
      </c>
      <c r="S582" s="19">
        <v>-5.1982815869085701E-2</v>
      </c>
      <c r="T582" s="19">
        <v>0</v>
      </c>
      <c r="U582" s="19">
        <v>0</v>
      </c>
      <c r="V582" s="20">
        <v>0</v>
      </c>
      <c r="W582" s="20">
        <v>-1.0000000000000001E-5</v>
      </c>
      <c r="Z582" s="15">
        <v>101</v>
      </c>
      <c r="AD582" s="1">
        <v>3.16035516056832</v>
      </c>
      <c r="AE582" s="22" t="s">
        <v>72</v>
      </c>
      <c r="AF582" s="22"/>
    </row>
    <row r="583" spans="1:32" x14ac:dyDescent="0.2">
      <c r="A583" s="1">
        <v>765</v>
      </c>
      <c r="D583" s="1" t="s">
        <v>9</v>
      </c>
      <c r="E583" s="1" t="s">
        <v>25</v>
      </c>
      <c r="F583" s="15">
        <v>0.5</v>
      </c>
      <c r="G583" s="1">
        <v>0</v>
      </c>
      <c r="H583" s="15">
        <v>0.8</v>
      </c>
      <c r="I583" s="1">
        <f t="shared" si="41"/>
        <v>0.5</v>
      </c>
      <c r="O583" s="18">
        <v>35</v>
      </c>
      <c r="Q583" s="1" t="s">
        <v>1</v>
      </c>
      <c r="R583" s="20" t="str">
        <f t="shared" si="42"/>
        <v>horizontal</v>
      </c>
      <c r="S583" s="19">
        <v>-5.2477187574299193E-2</v>
      </c>
      <c r="T583" s="19">
        <v>0</v>
      </c>
      <c r="U583" s="19">
        <v>0</v>
      </c>
      <c r="V583" s="20">
        <v>0</v>
      </c>
      <c r="W583" s="20">
        <v>-1.0000000000000001E-5</v>
      </c>
      <c r="Z583" s="15">
        <v>101</v>
      </c>
      <c r="AD583" s="1">
        <v>3.3402310347371902</v>
      </c>
      <c r="AE583" s="22" t="s">
        <v>72</v>
      </c>
      <c r="AF583" s="22"/>
    </row>
    <row r="584" spans="1:32" x14ac:dyDescent="0.2">
      <c r="A584" s="1">
        <v>766</v>
      </c>
      <c r="D584" s="1" t="s">
        <v>9</v>
      </c>
      <c r="E584" s="1" t="s">
        <v>25</v>
      </c>
      <c r="F584" s="15">
        <v>0.5</v>
      </c>
      <c r="G584" s="1">
        <v>0</v>
      </c>
      <c r="H584" s="15">
        <v>0.8</v>
      </c>
      <c r="I584" s="1">
        <f t="shared" ref="I584:I647" si="43">F584</f>
        <v>0.5</v>
      </c>
      <c r="O584" s="18">
        <v>35</v>
      </c>
      <c r="Q584" s="1" t="s">
        <v>1</v>
      </c>
      <c r="R584" s="20" t="str">
        <f t="shared" si="42"/>
        <v>horizontal</v>
      </c>
      <c r="S584" s="19">
        <v>-9.0889377157239701E-2</v>
      </c>
      <c r="T584" s="19">
        <v>0</v>
      </c>
      <c r="U584" s="19">
        <v>0</v>
      </c>
      <c r="V584" s="20">
        <v>0</v>
      </c>
      <c r="W584" s="20">
        <v>-1.0000000000000001E-5</v>
      </c>
      <c r="Z584" s="15">
        <v>101</v>
      </c>
      <c r="AD584" s="1">
        <v>3.8213826010674401</v>
      </c>
      <c r="AE584" s="22" t="s">
        <v>72</v>
      </c>
      <c r="AF584" s="22"/>
    </row>
    <row r="585" spans="1:32" x14ac:dyDescent="0.2">
      <c r="A585" s="1">
        <v>767</v>
      </c>
      <c r="D585" s="1" t="s">
        <v>9</v>
      </c>
      <c r="E585" s="1" t="s">
        <v>25</v>
      </c>
      <c r="F585" s="15">
        <v>0.5</v>
      </c>
      <c r="G585" s="1">
        <v>0</v>
      </c>
      <c r="H585" s="15">
        <v>0.8</v>
      </c>
      <c r="I585" s="1">
        <f t="shared" si="43"/>
        <v>0.5</v>
      </c>
      <c r="O585" s="18">
        <v>35</v>
      </c>
      <c r="Q585" s="1" t="s">
        <v>1</v>
      </c>
      <c r="R585" s="20" t="str">
        <f t="shared" si="42"/>
        <v>horizontal</v>
      </c>
      <c r="S585" s="19">
        <v>-0.158606002967869</v>
      </c>
      <c r="T585" s="19">
        <v>0</v>
      </c>
      <c r="U585" s="19">
        <v>0</v>
      </c>
      <c r="V585" s="20">
        <v>0</v>
      </c>
      <c r="W585" s="20">
        <v>-1.0000000000000001E-5</v>
      </c>
      <c r="Z585" s="15">
        <v>101</v>
      </c>
      <c r="AD585" s="1">
        <v>3.5842809474227901</v>
      </c>
      <c r="AE585" s="22" t="s">
        <v>72</v>
      </c>
      <c r="AF585" s="22"/>
    </row>
    <row r="586" spans="1:32" x14ac:dyDescent="0.2">
      <c r="A586" s="1">
        <v>768</v>
      </c>
      <c r="D586" s="1" t="s">
        <v>9</v>
      </c>
      <c r="E586" s="1" t="s">
        <v>25</v>
      </c>
      <c r="F586" s="15">
        <v>0.5</v>
      </c>
      <c r="G586" s="1">
        <v>0</v>
      </c>
      <c r="H586" s="15">
        <v>0.8</v>
      </c>
      <c r="I586" s="1">
        <f t="shared" si="43"/>
        <v>0.5</v>
      </c>
      <c r="O586" s="18">
        <v>35</v>
      </c>
      <c r="Q586" s="1" t="s">
        <v>1</v>
      </c>
      <c r="R586" s="20" t="str">
        <f t="shared" si="42"/>
        <v>horizontal</v>
      </c>
      <c r="S586" s="19">
        <v>-0.20528969526042601</v>
      </c>
      <c r="T586" s="19">
        <v>0</v>
      </c>
      <c r="U586" s="19">
        <v>0</v>
      </c>
      <c r="V586" s="20">
        <v>0</v>
      </c>
      <c r="W586" s="20">
        <v>-1.0000000000000001E-5</v>
      </c>
      <c r="Z586" s="15">
        <v>101</v>
      </c>
      <c r="AD586" s="1">
        <v>3.4182810949964302</v>
      </c>
      <c r="AE586" s="22" t="s">
        <v>72</v>
      </c>
      <c r="AF586" s="22"/>
    </row>
    <row r="587" spans="1:32" x14ac:dyDescent="0.2">
      <c r="A587" s="1">
        <v>769</v>
      </c>
      <c r="D587" s="1" t="s">
        <v>9</v>
      </c>
      <c r="E587" s="1" t="s">
        <v>25</v>
      </c>
      <c r="F587" s="15">
        <v>0.5</v>
      </c>
      <c r="G587" s="1">
        <v>0</v>
      </c>
      <c r="H587" s="15">
        <v>0.8</v>
      </c>
      <c r="I587" s="1">
        <f t="shared" si="43"/>
        <v>0.5</v>
      </c>
      <c r="O587" s="18">
        <v>50</v>
      </c>
      <c r="Q587" s="1" t="s">
        <v>1</v>
      </c>
      <c r="R587" s="20" t="str">
        <f t="shared" si="42"/>
        <v>horizontal</v>
      </c>
      <c r="S587" s="19">
        <v>0</v>
      </c>
      <c r="T587" s="19">
        <v>0</v>
      </c>
      <c r="U587" s="19">
        <v>0</v>
      </c>
      <c r="V587" s="20">
        <v>0</v>
      </c>
      <c r="W587" s="20">
        <v>-1.0000000000000001E-5</v>
      </c>
      <c r="Z587" s="15">
        <v>101</v>
      </c>
      <c r="AD587" s="1">
        <v>3.6019282956063998</v>
      </c>
      <c r="AE587" s="22" t="s">
        <v>72</v>
      </c>
      <c r="AF587" s="22"/>
    </row>
    <row r="588" spans="1:32" x14ac:dyDescent="0.2">
      <c r="A588" s="1">
        <v>770</v>
      </c>
      <c r="D588" s="1" t="s">
        <v>9</v>
      </c>
      <c r="E588" s="1" t="s">
        <v>25</v>
      </c>
      <c r="F588" s="15">
        <v>0.5</v>
      </c>
      <c r="G588" s="1">
        <v>0</v>
      </c>
      <c r="H588" s="15">
        <v>0.8</v>
      </c>
      <c r="I588" s="1">
        <f t="shared" si="43"/>
        <v>0.5</v>
      </c>
      <c r="O588" s="18">
        <v>50</v>
      </c>
      <c r="Q588" s="1" t="s">
        <v>1</v>
      </c>
      <c r="R588" s="20" t="str">
        <f t="shared" si="42"/>
        <v>horizontal</v>
      </c>
      <c r="S588" s="19">
        <v>-5.2367737122149906E-2</v>
      </c>
      <c r="T588" s="19">
        <v>0</v>
      </c>
      <c r="U588" s="19">
        <v>0</v>
      </c>
      <c r="V588" s="20">
        <v>0</v>
      </c>
      <c r="W588" s="20">
        <v>-1.0000000000000001E-5</v>
      </c>
      <c r="Z588" s="15">
        <v>101</v>
      </c>
      <c r="AD588" s="1">
        <v>4.4073729431923399</v>
      </c>
      <c r="AE588" s="22" t="s">
        <v>72</v>
      </c>
      <c r="AF588" s="22"/>
    </row>
    <row r="589" spans="1:32" x14ac:dyDescent="0.2">
      <c r="A589" s="1">
        <v>771</v>
      </c>
      <c r="D589" s="1" t="s">
        <v>9</v>
      </c>
      <c r="E589" s="1" t="s">
        <v>25</v>
      </c>
      <c r="F589" s="15">
        <v>0.5</v>
      </c>
      <c r="G589" s="1">
        <v>0</v>
      </c>
      <c r="H589" s="15">
        <v>0.8</v>
      </c>
      <c r="I589" s="1">
        <f t="shared" si="43"/>
        <v>0.5</v>
      </c>
      <c r="O589" s="18">
        <v>50</v>
      </c>
      <c r="Q589" s="1" t="s">
        <v>1</v>
      </c>
      <c r="R589" s="20" t="str">
        <f t="shared" si="42"/>
        <v>horizontal</v>
      </c>
      <c r="S589" s="19">
        <v>-9.0681544276192197E-2</v>
      </c>
      <c r="T589" s="19">
        <v>0</v>
      </c>
      <c r="U589" s="19">
        <v>0</v>
      </c>
      <c r="V589" s="20">
        <v>0</v>
      </c>
      <c r="W589" s="20">
        <v>-1.0000000000000001E-5</v>
      </c>
      <c r="Z589" s="15">
        <v>101</v>
      </c>
      <c r="AD589" s="1">
        <v>5.84775319128003</v>
      </c>
      <c r="AE589" s="22" t="s">
        <v>72</v>
      </c>
      <c r="AF589" s="22"/>
    </row>
    <row r="590" spans="1:32" x14ac:dyDescent="0.2">
      <c r="A590" s="1">
        <v>772</v>
      </c>
      <c r="D590" s="1" t="s">
        <v>9</v>
      </c>
      <c r="E590" s="1" t="s">
        <v>25</v>
      </c>
      <c r="F590" s="15">
        <v>0.5</v>
      </c>
      <c r="G590" s="1">
        <v>0</v>
      </c>
      <c r="H590" s="15">
        <v>0.8</v>
      </c>
      <c r="I590" s="1">
        <f t="shared" si="43"/>
        <v>0.5</v>
      </c>
      <c r="O590" s="18">
        <v>50</v>
      </c>
      <c r="Q590" s="1" t="s">
        <v>1</v>
      </c>
      <c r="R590" s="20" t="str">
        <f t="shared" si="42"/>
        <v>horizontal</v>
      </c>
      <c r="S590" s="19">
        <v>-9.0637272183187997E-2</v>
      </c>
      <c r="T590" s="19">
        <v>0</v>
      </c>
      <c r="U590" s="19">
        <v>0</v>
      </c>
      <c r="V590" s="20">
        <v>0</v>
      </c>
      <c r="W590" s="20">
        <v>-1.0000000000000001E-5</v>
      </c>
      <c r="Z590" s="15">
        <v>101</v>
      </c>
      <c r="AD590" s="1">
        <v>6.2794060980708801</v>
      </c>
      <c r="AE590" s="22" t="s">
        <v>72</v>
      </c>
      <c r="AF590" s="22"/>
    </row>
    <row r="591" spans="1:32" x14ac:dyDescent="0.2">
      <c r="A591" s="1">
        <v>773</v>
      </c>
      <c r="D591" s="1" t="s">
        <v>9</v>
      </c>
      <c r="E591" s="1" t="s">
        <v>25</v>
      </c>
      <c r="F591" s="15">
        <v>0.5</v>
      </c>
      <c r="G591" s="1">
        <v>0</v>
      </c>
      <c r="H591" s="15">
        <v>0.8</v>
      </c>
      <c r="I591" s="1">
        <f t="shared" si="43"/>
        <v>0.5</v>
      </c>
      <c r="O591" s="18">
        <v>50</v>
      </c>
      <c r="Q591" s="1" t="s">
        <v>1</v>
      </c>
      <c r="R591" s="20" t="str">
        <f t="shared" si="42"/>
        <v>horizontal</v>
      </c>
      <c r="S591" s="19">
        <v>-0.158442442179826</v>
      </c>
      <c r="T591" s="19">
        <v>0</v>
      </c>
      <c r="U591" s="19">
        <v>0</v>
      </c>
      <c r="V591" s="20">
        <v>0</v>
      </c>
      <c r="W591" s="20">
        <v>-1.0000000000000001E-5</v>
      </c>
      <c r="Z591" s="15">
        <v>101</v>
      </c>
      <c r="AD591" s="1">
        <v>5.1789986308445304</v>
      </c>
      <c r="AE591" s="22" t="s">
        <v>72</v>
      </c>
      <c r="AF591" s="22"/>
    </row>
    <row r="592" spans="1:32" x14ac:dyDescent="0.2">
      <c r="A592" s="1">
        <v>774</v>
      </c>
      <c r="D592" s="1" t="s">
        <v>9</v>
      </c>
      <c r="E592" s="1" t="s">
        <v>25</v>
      </c>
      <c r="F592" s="15">
        <v>0.5</v>
      </c>
      <c r="G592" s="1">
        <v>0</v>
      </c>
      <c r="H592" s="15">
        <v>0.8</v>
      </c>
      <c r="I592" s="1">
        <f t="shared" si="43"/>
        <v>0.5</v>
      </c>
      <c r="O592" s="18">
        <v>50</v>
      </c>
      <c r="Q592" s="1" t="s">
        <v>1</v>
      </c>
      <c r="R592" s="20" t="str">
        <f t="shared" si="42"/>
        <v>horizontal</v>
      </c>
      <c r="S592" s="19">
        <v>-0.20510399842588101</v>
      </c>
      <c r="T592" s="19">
        <v>0</v>
      </c>
      <c r="U592" s="19">
        <v>0</v>
      </c>
      <c r="V592" s="20">
        <v>0</v>
      </c>
      <c r="W592" s="20">
        <v>-1.0000000000000001E-5</v>
      </c>
      <c r="Z592" s="15">
        <v>101</v>
      </c>
      <c r="AD592" s="1">
        <v>5.2288252318135902</v>
      </c>
      <c r="AE592" s="22" t="s">
        <v>72</v>
      </c>
      <c r="AF592" s="22"/>
    </row>
    <row r="593" spans="1:32" s="4" customFormat="1" x14ac:dyDescent="0.2">
      <c r="A593" s="1">
        <v>775</v>
      </c>
      <c r="B593" s="52"/>
      <c r="D593" s="4" t="s">
        <v>9</v>
      </c>
      <c r="E593" s="4" t="s">
        <v>25</v>
      </c>
      <c r="F593" s="53">
        <v>0.5</v>
      </c>
      <c r="G593" s="4">
        <v>0</v>
      </c>
      <c r="H593" s="53">
        <v>0.8</v>
      </c>
      <c r="I593" s="4">
        <f t="shared" si="43"/>
        <v>0.5</v>
      </c>
      <c r="J593" s="54"/>
      <c r="K593" s="54"/>
      <c r="L593" s="54"/>
      <c r="M593" s="55"/>
      <c r="N593" s="56"/>
      <c r="O593" s="56">
        <v>50</v>
      </c>
      <c r="P593" s="57"/>
      <c r="Q593" s="1" t="s">
        <v>1</v>
      </c>
      <c r="R593" s="20" t="str">
        <f t="shared" si="42"/>
        <v>horizontal</v>
      </c>
      <c r="S593" s="58">
        <v>-0.28099866363867398</v>
      </c>
      <c r="T593" s="58">
        <v>0</v>
      </c>
      <c r="U593" s="58">
        <v>0</v>
      </c>
      <c r="V593" s="59">
        <v>0</v>
      </c>
      <c r="W593" s="59">
        <v>-1.0000000000000001E-5</v>
      </c>
      <c r="Y593" s="56"/>
      <c r="Z593" s="53">
        <v>101</v>
      </c>
      <c r="AA593" s="54"/>
      <c r="AB593" s="54"/>
      <c r="AC593" s="54"/>
      <c r="AD593" s="4">
        <v>5.2558394070818899</v>
      </c>
      <c r="AE593" s="60" t="s">
        <v>72</v>
      </c>
      <c r="AF593" s="22"/>
    </row>
    <row r="594" spans="1:32" s="3" customFormat="1" x14ac:dyDescent="0.2">
      <c r="A594" s="1">
        <v>776</v>
      </c>
      <c r="B594" s="47"/>
      <c r="D594" s="3" t="s">
        <v>9</v>
      </c>
      <c r="E594" s="3" t="s">
        <v>25</v>
      </c>
      <c r="F594" s="34">
        <v>0.5</v>
      </c>
      <c r="G594" s="3">
        <v>0</v>
      </c>
      <c r="H594" s="34">
        <v>0.65</v>
      </c>
      <c r="I594" s="3">
        <f t="shared" si="43"/>
        <v>0.5</v>
      </c>
      <c r="J594" s="48"/>
      <c r="K594" s="48"/>
      <c r="L594" s="48"/>
      <c r="M594" s="49"/>
      <c r="N594" s="50"/>
      <c r="O594" s="50">
        <v>35</v>
      </c>
      <c r="P594" s="51"/>
      <c r="Q594" s="1" t="s">
        <v>1</v>
      </c>
      <c r="R594" s="20" t="s">
        <v>140</v>
      </c>
      <c r="S594" s="35">
        <v>0</v>
      </c>
      <c r="T594" s="35">
        <v>0</v>
      </c>
      <c r="U594" s="35">
        <v>0</v>
      </c>
      <c r="V594" s="36">
        <v>0</v>
      </c>
      <c r="W594" s="36">
        <v>-1.0000000000000001E-5</v>
      </c>
      <c r="Y594" s="50"/>
      <c r="Z594" s="34">
        <v>101</v>
      </c>
      <c r="AA594" s="48"/>
      <c r="AB594" s="48"/>
      <c r="AC594" s="48"/>
      <c r="AD594" s="3">
        <v>3.8235294117646998</v>
      </c>
      <c r="AE594" s="37" t="s">
        <v>73</v>
      </c>
      <c r="AF594" s="22"/>
    </row>
    <row r="595" spans="1:32" x14ac:dyDescent="0.2">
      <c r="A595" s="1">
        <v>777</v>
      </c>
      <c r="D595" s="1" t="s">
        <v>9</v>
      </c>
      <c r="E595" s="1" t="s">
        <v>25</v>
      </c>
      <c r="F595" s="15">
        <v>0.5</v>
      </c>
      <c r="G595" s="1">
        <v>0</v>
      </c>
      <c r="H595" s="15">
        <v>0.65</v>
      </c>
      <c r="I595" s="1">
        <f t="shared" si="43"/>
        <v>0.5</v>
      </c>
      <c r="O595" s="18">
        <v>35</v>
      </c>
      <c r="Q595" s="1" t="s">
        <v>1</v>
      </c>
      <c r="R595" s="20" t="str">
        <f t="shared" si="42"/>
        <v>microgravedad</v>
      </c>
      <c r="S595" s="19">
        <v>-1.2364231986387399E-2</v>
      </c>
      <c r="T595" s="19">
        <v>0</v>
      </c>
      <c r="U595" s="19">
        <v>0</v>
      </c>
      <c r="V595" s="20">
        <v>0</v>
      </c>
      <c r="W595" s="20">
        <v>-1.0000000000000001E-5</v>
      </c>
      <c r="Z595" s="15">
        <v>101</v>
      </c>
      <c r="AD595" s="1">
        <v>4.24183006535947</v>
      </c>
      <c r="AE595" s="22" t="s">
        <v>73</v>
      </c>
      <c r="AF595" s="22"/>
    </row>
    <row r="596" spans="1:32" x14ac:dyDescent="0.2">
      <c r="A596" s="1">
        <v>778</v>
      </c>
      <c r="D596" s="1" t="s">
        <v>9</v>
      </c>
      <c r="E596" s="1" t="s">
        <v>25</v>
      </c>
      <c r="F596" s="15">
        <v>0.5</v>
      </c>
      <c r="G596" s="1">
        <v>0</v>
      </c>
      <c r="H596" s="15">
        <v>0.65</v>
      </c>
      <c r="I596" s="1">
        <f t="shared" si="43"/>
        <v>0.5</v>
      </c>
      <c r="O596" s="18">
        <v>35</v>
      </c>
      <c r="Q596" s="1" t="s">
        <v>1</v>
      </c>
      <c r="R596" s="20" t="str">
        <f t="shared" si="42"/>
        <v>microgravedad</v>
      </c>
      <c r="S596" s="19">
        <v>-5.2095955981743797E-2</v>
      </c>
      <c r="T596" s="19">
        <v>0</v>
      </c>
      <c r="U596" s="19">
        <v>0</v>
      </c>
      <c r="V596" s="20">
        <v>0</v>
      </c>
      <c r="W596" s="20">
        <v>-1.0000000000000001E-5</v>
      </c>
      <c r="Z596" s="15">
        <v>101</v>
      </c>
      <c r="AD596" s="1">
        <v>4.5119825708060999</v>
      </c>
      <c r="AE596" s="22" t="s">
        <v>73</v>
      </c>
      <c r="AF596" s="22"/>
    </row>
    <row r="597" spans="1:32" x14ac:dyDescent="0.2">
      <c r="A597" s="1">
        <v>779</v>
      </c>
      <c r="D597" s="1" t="s">
        <v>9</v>
      </c>
      <c r="E597" s="1" t="s">
        <v>25</v>
      </c>
      <c r="F597" s="15">
        <v>0.5</v>
      </c>
      <c r="G597" s="1">
        <v>0</v>
      </c>
      <c r="H597" s="15">
        <v>0.65</v>
      </c>
      <c r="I597" s="1">
        <f t="shared" si="43"/>
        <v>0.5</v>
      </c>
      <c r="O597" s="18">
        <v>35</v>
      </c>
      <c r="Q597" s="1" t="s">
        <v>1</v>
      </c>
      <c r="R597" s="20" t="str">
        <f t="shared" si="42"/>
        <v>microgravedad</v>
      </c>
      <c r="S597" s="19">
        <v>-9.0444158198559207E-2</v>
      </c>
      <c r="T597" s="19">
        <v>0</v>
      </c>
      <c r="U597" s="19">
        <v>0</v>
      </c>
      <c r="V597" s="20">
        <v>0</v>
      </c>
      <c r="W597" s="20">
        <v>-1.0000000000000001E-5</v>
      </c>
      <c r="Z597" s="15">
        <v>101</v>
      </c>
      <c r="AD597" s="1">
        <v>4.3638344226579502</v>
      </c>
      <c r="AE597" s="22" t="s">
        <v>73</v>
      </c>
      <c r="AF597" s="22"/>
    </row>
    <row r="598" spans="1:32" x14ac:dyDescent="0.2">
      <c r="A598" s="1">
        <v>780</v>
      </c>
      <c r="D598" s="1" t="s">
        <v>9</v>
      </c>
      <c r="E598" s="1" t="s">
        <v>25</v>
      </c>
      <c r="F598" s="15">
        <v>0.5</v>
      </c>
      <c r="G598" s="1">
        <v>0</v>
      </c>
      <c r="H598" s="15">
        <v>0.65</v>
      </c>
      <c r="I598" s="1">
        <f t="shared" si="43"/>
        <v>0.5</v>
      </c>
      <c r="O598" s="18">
        <v>35</v>
      </c>
      <c r="Q598" s="1" t="s">
        <v>1</v>
      </c>
      <c r="R598" s="20" t="str">
        <f t="shared" si="42"/>
        <v>microgravedad</v>
      </c>
      <c r="S598" s="19">
        <v>-0.15800534325652399</v>
      </c>
      <c r="T598" s="19">
        <v>0</v>
      </c>
      <c r="U598" s="19">
        <v>0</v>
      </c>
      <c r="V598" s="20">
        <v>0</v>
      </c>
      <c r="W598" s="20">
        <v>-1.0000000000000001E-5</v>
      </c>
      <c r="Z598" s="15">
        <v>101</v>
      </c>
      <c r="AD598" s="1">
        <v>4.1285403050108904</v>
      </c>
      <c r="AE598" s="22" t="s">
        <v>73</v>
      </c>
      <c r="AF598" s="22"/>
    </row>
    <row r="599" spans="1:32" x14ac:dyDescent="0.2">
      <c r="A599" s="1">
        <v>781</v>
      </c>
      <c r="D599" s="1" t="s">
        <v>9</v>
      </c>
      <c r="E599" s="1" t="s">
        <v>25</v>
      </c>
      <c r="F599" s="15">
        <v>0.5</v>
      </c>
      <c r="G599" s="1">
        <v>0</v>
      </c>
      <c r="H599" s="15">
        <v>0.8</v>
      </c>
      <c r="I599" s="1">
        <f t="shared" si="43"/>
        <v>0.5</v>
      </c>
      <c r="O599" s="18">
        <v>35</v>
      </c>
      <c r="Q599" s="1" t="s">
        <v>33</v>
      </c>
      <c r="R599" s="20" t="str">
        <f t="shared" si="42"/>
        <v>microgravedad</v>
      </c>
      <c r="S599" s="19">
        <v>0</v>
      </c>
      <c r="T599" s="19">
        <v>0</v>
      </c>
      <c r="U599" s="19">
        <v>0</v>
      </c>
      <c r="V599" s="20">
        <v>0</v>
      </c>
      <c r="W599" s="20">
        <v>-1.0000000000000001E-5</v>
      </c>
      <c r="Z599" s="15">
        <v>101</v>
      </c>
      <c r="AD599" s="1">
        <v>2.7690631808278798</v>
      </c>
      <c r="AE599" s="22" t="s">
        <v>73</v>
      </c>
      <c r="AF599" s="22"/>
    </row>
    <row r="600" spans="1:32" x14ac:dyDescent="0.2">
      <c r="A600" s="1">
        <v>782</v>
      </c>
      <c r="D600" s="1" t="s">
        <v>9</v>
      </c>
      <c r="E600" s="1" t="s">
        <v>25</v>
      </c>
      <c r="F600" s="15">
        <v>0.5</v>
      </c>
      <c r="G600" s="1">
        <v>0</v>
      </c>
      <c r="H600" s="15">
        <v>0.8</v>
      </c>
      <c r="I600" s="1">
        <f t="shared" si="43"/>
        <v>0.5</v>
      </c>
      <c r="O600" s="18">
        <v>35</v>
      </c>
      <c r="Q600" s="1" t="s">
        <v>1</v>
      </c>
      <c r="R600" s="20" t="str">
        <f t="shared" si="42"/>
        <v>microgravedad</v>
      </c>
      <c r="S600" s="19">
        <v>-1.2577326145381101E-2</v>
      </c>
      <c r="T600" s="19">
        <v>0</v>
      </c>
      <c r="U600" s="19">
        <v>0</v>
      </c>
      <c r="V600" s="20">
        <v>0</v>
      </c>
      <c r="W600" s="20">
        <v>-1.0000000000000001E-5</v>
      </c>
      <c r="Z600" s="15">
        <v>101</v>
      </c>
      <c r="AD600" s="1">
        <v>3.07407407407407</v>
      </c>
      <c r="AE600" s="22" t="s">
        <v>73</v>
      </c>
      <c r="AF600" s="22"/>
    </row>
    <row r="601" spans="1:32" x14ac:dyDescent="0.2">
      <c r="A601" s="1">
        <v>783</v>
      </c>
      <c r="D601" s="1" t="s">
        <v>9</v>
      </c>
      <c r="E601" s="1" t="s">
        <v>25</v>
      </c>
      <c r="F601" s="15">
        <v>0.5</v>
      </c>
      <c r="G601" s="1">
        <v>0</v>
      </c>
      <c r="H601" s="15">
        <v>0.8</v>
      </c>
      <c r="I601" s="1">
        <f t="shared" si="43"/>
        <v>0.5</v>
      </c>
      <c r="O601" s="18">
        <v>35</v>
      </c>
      <c r="Q601" s="1" t="s">
        <v>1</v>
      </c>
      <c r="R601" s="20" t="str">
        <f t="shared" si="42"/>
        <v>microgravedad</v>
      </c>
      <c r="S601" s="19">
        <v>-5.1980662500198706E-2</v>
      </c>
      <c r="T601" s="19">
        <v>0</v>
      </c>
      <c r="U601" s="19">
        <v>0</v>
      </c>
      <c r="V601" s="20">
        <v>0</v>
      </c>
      <c r="W601" s="20">
        <v>-1.0000000000000001E-5</v>
      </c>
      <c r="Z601" s="15">
        <v>101</v>
      </c>
      <c r="AD601" s="1">
        <v>3.1437908496731999</v>
      </c>
      <c r="AE601" s="22" t="s">
        <v>73</v>
      </c>
      <c r="AF601" s="22"/>
    </row>
    <row r="602" spans="1:32" x14ac:dyDescent="0.2">
      <c r="A602" s="1">
        <v>784</v>
      </c>
      <c r="D602" s="1" t="s">
        <v>9</v>
      </c>
      <c r="E602" s="1" t="s">
        <v>25</v>
      </c>
      <c r="F602" s="15">
        <v>0.5</v>
      </c>
      <c r="G602" s="1">
        <v>0</v>
      </c>
      <c r="H602" s="15">
        <v>0.8</v>
      </c>
      <c r="I602" s="1">
        <f t="shared" si="43"/>
        <v>0.5</v>
      </c>
      <c r="O602" s="18">
        <v>35</v>
      </c>
      <c r="Q602" s="1" t="s">
        <v>1</v>
      </c>
      <c r="R602" s="20" t="str">
        <f t="shared" si="42"/>
        <v>microgravedad</v>
      </c>
      <c r="S602" s="19">
        <v>-5.2307459885819696E-2</v>
      </c>
      <c r="T602" s="19">
        <v>0</v>
      </c>
      <c r="U602" s="19">
        <v>0</v>
      </c>
      <c r="V602" s="20">
        <v>0</v>
      </c>
      <c r="W602" s="20">
        <v>-1.0000000000000001E-5</v>
      </c>
      <c r="Z602" s="15">
        <v>101</v>
      </c>
      <c r="AD602" s="1">
        <v>3.3529411764705799</v>
      </c>
      <c r="AE602" s="22" t="s">
        <v>73</v>
      </c>
      <c r="AF602" s="22"/>
    </row>
    <row r="603" spans="1:32" x14ac:dyDescent="0.2">
      <c r="A603" s="1">
        <v>785</v>
      </c>
      <c r="D603" s="1" t="s">
        <v>9</v>
      </c>
      <c r="E603" s="1" t="s">
        <v>25</v>
      </c>
      <c r="F603" s="15">
        <v>0.5</v>
      </c>
      <c r="G603" s="1">
        <v>0</v>
      </c>
      <c r="H603" s="15">
        <v>0.8</v>
      </c>
      <c r="I603" s="1">
        <f t="shared" si="43"/>
        <v>0.5</v>
      </c>
      <c r="O603" s="18">
        <v>35</v>
      </c>
      <c r="Q603" s="1" t="s">
        <v>1</v>
      </c>
      <c r="R603" s="20" t="str">
        <f t="shared" si="42"/>
        <v>microgravedad</v>
      </c>
      <c r="S603" s="19">
        <v>-9.0909307762034194E-2</v>
      </c>
      <c r="T603" s="19">
        <v>0</v>
      </c>
      <c r="U603" s="19">
        <v>0</v>
      </c>
      <c r="V603" s="20">
        <v>0</v>
      </c>
      <c r="W603" s="20">
        <v>-1.0000000000000001E-5</v>
      </c>
      <c r="Z603" s="15">
        <v>101</v>
      </c>
      <c r="AD603" s="1">
        <v>3.81481481481481</v>
      </c>
      <c r="AE603" s="22" t="s">
        <v>73</v>
      </c>
      <c r="AF603" s="22"/>
    </row>
    <row r="604" spans="1:32" x14ac:dyDescent="0.2">
      <c r="A604" s="1">
        <v>786</v>
      </c>
      <c r="D604" s="1" t="s">
        <v>9</v>
      </c>
      <c r="E604" s="1" t="s">
        <v>25</v>
      </c>
      <c r="F604" s="15">
        <v>0.5</v>
      </c>
      <c r="G604" s="1">
        <v>0</v>
      </c>
      <c r="H604" s="15">
        <v>0.8</v>
      </c>
      <c r="I604" s="1">
        <f t="shared" si="43"/>
        <v>0.5</v>
      </c>
      <c r="O604" s="18">
        <v>35</v>
      </c>
      <c r="Q604" s="1" t="s">
        <v>1</v>
      </c>
      <c r="R604" s="20" t="str">
        <f t="shared" si="42"/>
        <v>microgravedad</v>
      </c>
      <c r="S604" s="19">
        <v>-0.158472083074916</v>
      </c>
      <c r="T604" s="19">
        <v>0</v>
      </c>
      <c r="U604" s="19">
        <v>0</v>
      </c>
      <c r="V604" s="20">
        <v>0</v>
      </c>
      <c r="W604" s="20">
        <v>-1.0000000000000001E-5</v>
      </c>
      <c r="Z604" s="15">
        <v>101</v>
      </c>
      <c r="AD604" s="1">
        <v>3.5708061002178599</v>
      </c>
      <c r="AE604" s="22" t="s">
        <v>73</v>
      </c>
      <c r="AF604" s="22"/>
    </row>
    <row r="605" spans="1:32" s="5" customFormat="1" ht="16" thickBot="1" x14ac:dyDescent="0.25">
      <c r="A605" s="1">
        <v>787</v>
      </c>
      <c r="B605" s="24"/>
      <c r="D605" s="5" t="s">
        <v>9</v>
      </c>
      <c r="E605" s="5" t="s">
        <v>25</v>
      </c>
      <c r="F605" s="25">
        <v>0.5</v>
      </c>
      <c r="G605" s="5">
        <v>0</v>
      </c>
      <c r="H605" s="25">
        <v>0.8</v>
      </c>
      <c r="I605" s="5">
        <f t="shared" si="43"/>
        <v>0.5</v>
      </c>
      <c r="J605" s="26"/>
      <c r="K605" s="26"/>
      <c r="L605" s="26"/>
      <c r="M605" s="27"/>
      <c r="N605" s="28"/>
      <c r="O605" s="28">
        <v>35</v>
      </c>
      <c r="P605" s="29"/>
      <c r="Q605" s="5" t="s">
        <v>1</v>
      </c>
      <c r="R605" s="20" t="str">
        <f t="shared" si="42"/>
        <v>microgravedad</v>
      </c>
      <c r="S605" s="30">
        <v>-0.205217626385509</v>
      </c>
      <c r="T605" s="30">
        <v>0</v>
      </c>
      <c r="U605" s="30">
        <v>0</v>
      </c>
      <c r="V605" s="31">
        <v>0</v>
      </c>
      <c r="W605" s="31">
        <v>-1.0000000000000001E-5</v>
      </c>
      <c r="Y605" s="28"/>
      <c r="Z605" s="25">
        <v>101</v>
      </c>
      <c r="AA605" s="26"/>
      <c r="AB605" s="26"/>
      <c r="AC605" s="26"/>
      <c r="AD605" s="5">
        <v>3.4052287581699301</v>
      </c>
      <c r="AE605" s="33" t="s">
        <v>73</v>
      </c>
      <c r="AF605" s="22"/>
    </row>
    <row r="606" spans="1:32" s="3" customFormat="1" x14ac:dyDescent="0.2">
      <c r="A606" s="1">
        <v>788</v>
      </c>
      <c r="B606" s="47"/>
      <c r="D606" s="3" t="s">
        <v>4</v>
      </c>
      <c r="E606" s="3" t="s">
        <v>25</v>
      </c>
      <c r="F606" s="34">
        <v>0.3</v>
      </c>
      <c r="G606" s="3">
        <v>0</v>
      </c>
      <c r="H606" s="34">
        <v>0.6</v>
      </c>
      <c r="I606" s="3">
        <f t="shared" si="43"/>
        <v>0.3</v>
      </c>
      <c r="J606" s="48"/>
      <c r="K606" s="48"/>
      <c r="L606" s="48"/>
      <c r="M606" s="49"/>
      <c r="N606" s="50"/>
      <c r="O606" s="50">
        <v>21</v>
      </c>
      <c r="P606" s="51"/>
      <c r="Q606" s="1" t="s">
        <v>33</v>
      </c>
      <c r="R606" s="20" t="s">
        <v>138</v>
      </c>
      <c r="S606" s="35">
        <v>0</v>
      </c>
      <c r="T606" s="35">
        <v>0</v>
      </c>
      <c r="U606" s="35">
        <v>0</v>
      </c>
      <c r="V606" s="36">
        <v>0.99999130434233141</v>
      </c>
      <c r="W606" s="36">
        <v>-4.170280532865619E-3</v>
      </c>
      <c r="Y606" s="50"/>
      <c r="Z606" s="34">
        <v>100</v>
      </c>
      <c r="AA606" s="48"/>
      <c r="AB606" s="48"/>
      <c r="AC606" s="48"/>
      <c r="AD606" s="3">
        <v>11.959330789999999</v>
      </c>
      <c r="AE606" s="37" t="s">
        <v>74</v>
      </c>
      <c r="AF606" s="22"/>
    </row>
    <row r="607" spans="1:32" x14ac:dyDescent="0.2">
      <c r="A607" s="1">
        <v>789</v>
      </c>
      <c r="D607" s="1" t="s">
        <v>4</v>
      </c>
      <c r="E607" s="1" t="s">
        <v>25</v>
      </c>
      <c r="F607" s="15">
        <v>0.3</v>
      </c>
      <c r="G607" s="1">
        <v>0</v>
      </c>
      <c r="H607" s="15">
        <v>0.6</v>
      </c>
      <c r="I607" s="1">
        <f t="shared" si="43"/>
        <v>0.3</v>
      </c>
      <c r="O607" s="18">
        <v>21</v>
      </c>
      <c r="Q607" s="1" t="s">
        <v>33</v>
      </c>
      <c r="R607" s="20" t="str">
        <f t="shared" si="42"/>
        <v>inclined</v>
      </c>
      <c r="S607" s="19">
        <v>0</v>
      </c>
      <c r="T607" s="19">
        <v>0</v>
      </c>
      <c r="U607" s="19">
        <v>0</v>
      </c>
      <c r="V607" s="20">
        <v>0.96396764618020891</v>
      </c>
      <c r="W607" s="20">
        <v>-0.26601950514537015</v>
      </c>
      <c r="Z607" s="15">
        <v>100</v>
      </c>
      <c r="AD607" s="1">
        <v>11.10653655</v>
      </c>
      <c r="AE607" s="22" t="s">
        <v>74</v>
      </c>
      <c r="AF607" s="22"/>
    </row>
    <row r="608" spans="1:32" x14ac:dyDescent="0.2">
      <c r="A608" s="1">
        <v>790</v>
      </c>
      <c r="D608" s="1" t="s">
        <v>4</v>
      </c>
      <c r="E608" s="1" t="s">
        <v>25</v>
      </c>
      <c r="F608" s="15">
        <v>0.3</v>
      </c>
      <c r="G608" s="1">
        <v>0</v>
      </c>
      <c r="H608" s="15">
        <v>0.6</v>
      </c>
      <c r="I608" s="1">
        <f t="shared" si="43"/>
        <v>0.3</v>
      </c>
      <c r="O608" s="18">
        <v>21</v>
      </c>
      <c r="Q608" s="1" t="s">
        <v>33</v>
      </c>
      <c r="R608" s="20" t="str">
        <f t="shared" si="42"/>
        <v>inclined</v>
      </c>
      <c r="S608" s="19">
        <v>0</v>
      </c>
      <c r="T608" s="19">
        <v>0</v>
      </c>
      <c r="U608" s="19">
        <v>0</v>
      </c>
      <c r="V608" s="20">
        <v>0.70449206686287336</v>
      </c>
      <c r="W608" s="20">
        <v>-0.70971186246763329</v>
      </c>
      <c r="Z608" s="15">
        <v>100</v>
      </c>
      <c r="AD608" s="1">
        <v>6.9133485299999995</v>
      </c>
      <c r="AE608" s="22" t="s">
        <v>74</v>
      </c>
      <c r="AF608" s="22"/>
    </row>
    <row r="609" spans="1:32" x14ac:dyDescent="0.2">
      <c r="A609" s="1">
        <v>791</v>
      </c>
      <c r="D609" s="1" t="s">
        <v>4</v>
      </c>
      <c r="E609" s="1" t="s">
        <v>25</v>
      </c>
      <c r="F609" s="15">
        <v>0.3</v>
      </c>
      <c r="G609" s="1">
        <v>0</v>
      </c>
      <c r="H609" s="15">
        <v>0.6</v>
      </c>
      <c r="I609" s="1">
        <f t="shared" si="43"/>
        <v>0.3</v>
      </c>
      <c r="O609" s="18">
        <v>21</v>
      </c>
      <c r="Q609" s="1" t="s">
        <v>33</v>
      </c>
      <c r="R609" s="20" t="str">
        <f t="shared" si="42"/>
        <v>inclined</v>
      </c>
      <c r="S609" s="19">
        <v>0</v>
      </c>
      <c r="T609" s="19">
        <v>0</v>
      </c>
      <c r="U609" s="19">
        <v>0</v>
      </c>
      <c r="V609" s="20">
        <v>0.49409328459891388</v>
      </c>
      <c r="W609" s="20">
        <v>-0.86940889466019189</v>
      </c>
      <c r="Z609" s="15">
        <v>100</v>
      </c>
      <c r="AD609" s="1">
        <v>5.2530784799999992</v>
      </c>
      <c r="AE609" s="22" t="s">
        <v>74</v>
      </c>
      <c r="AF609" s="22"/>
    </row>
    <row r="610" spans="1:32" x14ac:dyDescent="0.2">
      <c r="A610" s="1">
        <v>792</v>
      </c>
      <c r="D610" s="1" t="s">
        <v>4</v>
      </c>
      <c r="E610" s="1" t="s">
        <v>25</v>
      </c>
      <c r="F610" s="15">
        <v>0.3</v>
      </c>
      <c r="G610" s="1">
        <v>0</v>
      </c>
      <c r="H610" s="15">
        <v>0.6</v>
      </c>
      <c r="I610" s="1">
        <f t="shared" si="43"/>
        <v>0.3</v>
      </c>
      <c r="O610" s="18">
        <v>21</v>
      </c>
      <c r="Q610" s="1" t="s">
        <v>33</v>
      </c>
      <c r="R610" s="20" t="str">
        <f t="shared" si="42"/>
        <v>inclined</v>
      </c>
      <c r="S610" s="19">
        <v>0</v>
      </c>
      <c r="T610" s="19">
        <v>0</v>
      </c>
      <c r="U610" s="19">
        <v>0</v>
      </c>
      <c r="V610" s="20">
        <v>0.25556812088332737</v>
      </c>
      <c r="W610" s="20">
        <v>-0.96679105063512305</v>
      </c>
      <c r="Z610" s="15">
        <v>100</v>
      </c>
      <c r="AD610" s="1">
        <v>4.7574956899999998</v>
      </c>
      <c r="AE610" s="22" t="s">
        <v>74</v>
      </c>
      <c r="AF610" s="22"/>
    </row>
    <row r="611" spans="1:32" x14ac:dyDescent="0.2">
      <c r="A611" s="1">
        <v>793</v>
      </c>
      <c r="D611" s="1" t="s">
        <v>4</v>
      </c>
      <c r="E611" s="1" t="s">
        <v>25</v>
      </c>
      <c r="F611" s="15">
        <v>0.3</v>
      </c>
      <c r="G611" s="1">
        <v>0</v>
      </c>
      <c r="H611" s="15">
        <v>0.6</v>
      </c>
      <c r="I611" s="1">
        <f t="shared" si="43"/>
        <v>0.3</v>
      </c>
      <c r="O611" s="18">
        <v>21</v>
      </c>
      <c r="Q611" s="1" t="s">
        <v>33</v>
      </c>
      <c r="R611" s="20" t="str">
        <f t="shared" si="42"/>
        <v>inclined</v>
      </c>
      <c r="S611" s="19">
        <v>0</v>
      </c>
      <c r="T611" s="19">
        <v>0</v>
      </c>
      <c r="U611" s="19">
        <v>0</v>
      </c>
      <c r="V611" s="20">
        <v>-3.2225929806859095E-3</v>
      </c>
      <c r="W611" s="20">
        <v>-0.99999480743375901</v>
      </c>
      <c r="Z611" s="15">
        <v>100</v>
      </c>
      <c r="AD611" s="1">
        <v>4.0468459399999999</v>
      </c>
      <c r="AE611" s="22" t="s">
        <v>74</v>
      </c>
      <c r="AF611" s="22"/>
    </row>
    <row r="612" spans="1:32" x14ac:dyDescent="0.2">
      <c r="A612" s="1">
        <v>794</v>
      </c>
      <c r="D612" s="1" t="s">
        <v>4</v>
      </c>
      <c r="E612" s="1" t="s">
        <v>25</v>
      </c>
      <c r="F612" s="15">
        <v>0.3</v>
      </c>
      <c r="G612" s="1">
        <v>0</v>
      </c>
      <c r="H612" s="15">
        <v>0.6</v>
      </c>
      <c r="I612" s="1">
        <f t="shared" si="43"/>
        <v>0.3</v>
      </c>
      <c r="O612" s="18">
        <v>21</v>
      </c>
      <c r="Q612" s="1" t="s">
        <v>33</v>
      </c>
      <c r="R612" s="20" t="str">
        <f t="shared" si="42"/>
        <v>inclined</v>
      </c>
      <c r="S612" s="19">
        <v>0</v>
      </c>
      <c r="T612" s="19">
        <v>0</v>
      </c>
      <c r="U612" s="19">
        <v>0</v>
      </c>
      <c r="V612" s="20">
        <v>-0.25874382029681736</v>
      </c>
      <c r="W612" s="20">
        <v>-0.96594597957557038</v>
      </c>
      <c r="Z612" s="15">
        <v>100</v>
      </c>
      <c r="AD612" s="1">
        <v>4.3140739200000002</v>
      </c>
      <c r="AE612" s="22" t="s">
        <v>74</v>
      </c>
      <c r="AF612" s="22"/>
    </row>
    <row r="613" spans="1:32" x14ac:dyDescent="0.2">
      <c r="A613" s="1">
        <v>795</v>
      </c>
      <c r="D613" s="1" t="s">
        <v>4</v>
      </c>
      <c r="E613" s="1" t="s">
        <v>25</v>
      </c>
      <c r="F613" s="15">
        <v>0.3</v>
      </c>
      <c r="G613" s="1">
        <v>0</v>
      </c>
      <c r="H613" s="15">
        <v>0.6</v>
      </c>
      <c r="I613" s="1">
        <f t="shared" si="43"/>
        <v>0.3</v>
      </c>
      <c r="O613" s="18">
        <v>21</v>
      </c>
      <c r="Q613" s="1" t="s">
        <v>33</v>
      </c>
      <c r="R613" s="20" t="str">
        <f t="shared" si="42"/>
        <v>inclined</v>
      </c>
      <c r="S613" s="19">
        <v>0</v>
      </c>
      <c r="T613" s="19">
        <v>0</v>
      </c>
      <c r="U613" s="19">
        <v>0</v>
      </c>
      <c r="V613" s="20">
        <v>-0.50294184238853434</v>
      </c>
      <c r="W613" s="20">
        <v>-0.8643202549835487</v>
      </c>
      <c r="Z613" s="15">
        <v>100</v>
      </c>
      <c r="AD613" s="1">
        <v>4.9585230400000002</v>
      </c>
      <c r="AE613" s="22" t="s">
        <v>74</v>
      </c>
      <c r="AF613" s="22"/>
    </row>
    <row r="614" spans="1:32" x14ac:dyDescent="0.2">
      <c r="A614" s="1">
        <v>796</v>
      </c>
      <c r="D614" s="1" t="s">
        <v>4</v>
      </c>
      <c r="E614" s="1" t="s">
        <v>25</v>
      </c>
      <c r="F614" s="15">
        <v>0.3</v>
      </c>
      <c r="G614" s="1">
        <v>0</v>
      </c>
      <c r="H614" s="15">
        <v>0.6</v>
      </c>
      <c r="I614" s="1">
        <f t="shared" si="43"/>
        <v>0.3</v>
      </c>
      <c r="O614" s="18">
        <v>21</v>
      </c>
      <c r="Q614" s="1" t="s">
        <v>33</v>
      </c>
      <c r="R614" s="20" t="str">
        <f t="shared" si="42"/>
        <v>inclined</v>
      </c>
      <c r="S614" s="19">
        <v>0</v>
      </c>
      <c r="T614" s="19">
        <v>0</v>
      </c>
      <c r="U614" s="19">
        <v>0</v>
      </c>
      <c r="V614" s="20">
        <v>-0.70967786130575572</v>
      </c>
      <c r="W614" s="20">
        <v>-0.70452631829654777</v>
      </c>
      <c r="Z614" s="15">
        <v>100</v>
      </c>
      <c r="AD614" s="1">
        <v>6.5421908599999998</v>
      </c>
      <c r="AE614" s="22" t="s">
        <v>74</v>
      </c>
      <c r="AF614" s="22"/>
    </row>
    <row r="615" spans="1:32" x14ac:dyDescent="0.2">
      <c r="A615" s="1">
        <v>797</v>
      </c>
      <c r="D615" s="1" t="s">
        <v>4</v>
      </c>
      <c r="E615" s="1" t="s">
        <v>25</v>
      </c>
      <c r="F615" s="15">
        <v>0.3</v>
      </c>
      <c r="G615" s="1">
        <v>0</v>
      </c>
      <c r="H615" s="15">
        <v>0.6</v>
      </c>
      <c r="I615" s="1">
        <f t="shared" si="43"/>
        <v>0.3</v>
      </c>
      <c r="O615" s="18">
        <v>21</v>
      </c>
      <c r="Q615" s="1" t="s">
        <v>33</v>
      </c>
      <c r="R615" s="20" t="str">
        <f t="shared" si="42"/>
        <v>inclined</v>
      </c>
      <c r="S615" s="19">
        <v>0</v>
      </c>
      <c r="T615" s="19">
        <v>0</v>
      </c>
      <c r="U615" s="19">
        <v>0</v>
      </c>
      <c r="V615" s="20">
        <v>-0.96698028422815574</v>
      </c>
      <c r="W615" s="20">
        <v>-0.25485119170613096</v>
      </c>
      <c r="Z615" s="15">
        <v>100</v>
      </c>
      <c r="AD615" s="1">
        <v>11.106357979999999</v>
      </c>
      <c r="AE615" s="22" t="s">
        <v>74</v>
      </c>
      <c r="AF615" s="22"/>
    </row>
    <row r="616" spans="1:32" x14ac:dyDescent="0.2">
      <c r="A616" s="1">
        <v>798</v>
      </c>
      <c r="D616" s="1" t="s">
        <v>4</v>
      </c>
      <c r="E616" s="1" t="s">
        <v>25</v>
      </c>
      <c r="F616" s="15">
        <v>0.5</v>
      </c>
      <c r="G616" s="1">
        <v>0</v>
      </c>
      <c r="H616" s="15">
        <v>0.8</v>
      </c>
      <c r="I616" s="1">
        <f t="shared" si="43"/>
        <v>0.5</v>
      </c>
      <c r="O616" s="18">
        <v>21</v>
      </c>
      <c r="Q616" s="1" t="s">
        <v>33</v>
      </c>
      <c r="R616" s="20" t="str">
        <f t="shared" si="42"/>
        <v>inclined</v>
      </c>
      <c r="S616" s="19">
        <v>0</v>
      </c>
      <c r="T616" s="19">
        <v>0</v>
      </c>
      <c r="U616" s="19">
        <v>0</v>
      </c>
      <c r="V616" s="20">
        <v>0.9999926224767316</v>
      </c>
      <c r="W616" s="20">
        <v>-3.8412227361766141E-3</v>
      </c>
      <c r="Z616" s="15">
        <v>100</v>
      </c>
      <c r="AD616" s="1">
        <v>8.2093259700000001</v>
      </c>
      <c r="AE616" s="22" t="s">
        <v>74</v>
      </c>
      <c r="AF616" s="22"/>
    </row>
    <row r="617" spans="1:32" x14ac:dyDescent="0.2">
      <c r="A617" s="1">
        <v>799</v>
      </c>
      <c r="D617" s="1" t="s">
        <v>4</v>
      </c>
      <c r="E617" s="1" t="s">
        <v>25</v>
      </c>
      <c r="F617" s="15">
        <v>0.5</v>
      </c>
      <c r="G617" s="1">
        <v>0</v>
      </c>
      <c r="H617" s="15">
        <v>0.8</v>
      </c>
      <c r="I617" s="1">
        <f t="shared" si="43"/>
        <v>0.5</v>
      </c>
      <c r="O617" s="18">
        <v>21</v>
      </c>
      <c r="Q617" s="1" t="s">
        <v>33</v>
      </c>
      <c r="R617" s="20" t="str">
        <f t="shared" si="42"/>
        <v>inclined</v>
      </c>
      <c r="S617" s="19">
        <v>0</v>
      </c>
      <c r="T617" s="19">
        <v>0</v>
      </c>
      <c r="U617" s="19">
        <v>0</v>
      </c>
      <c r="V617" s="20">
        <v>0.96497028919799555</v>
      </c>
      <c r="W617" s="20">
        <v>-0.26235918311569872</v>
      </c>
      <c r="Z617" s="15">
        <v>100</v>
      </c>
      <c r="AD617" s="1">
        <v>6.7252096999999997</v>
      </c>
      <c r="AE617" s="22" t="s">
        <v>74</v>
      </c>
      <c r="AF617" s="22"/>
    </row>
    <row r="618" spans="1:32" x14ac:dyDescent="0.2">
      <c r="A618" s="1">
        <v>800</v>
      </c>
      <c r="D618" s="1" t="s">
        <v>4</v>
      </c>
      <c r="E618" s="1" t="s">
        <v>25</v>
      </c>
      <c r="F618" s="15">
        <v>0.5</v>
      </c>
      <c r="G618" s="1">
        <v>0</v>
      </c>
      <c r="H618" s="15">
        <v>0.8</v>
      </c>
      <c r="I618" s="1">
        <f t="shared" si="43"/>
        <v>0.5</v>
      </c>
      <c r="O618" s="18">
        <v>21</v>
      </c>
      <c r="Q618" s="1" t="s">
        <v>33</v>
      </c>
      <c r="R618" s="20" t="str">
        <f t="shared" si="42"/>
        <v>inclined</v>
      </c>
      <c r="S618" s="19">
        <v>0</v>
      </c>
      <c r="T618" s="19">
        <v>0</v>
      </c>
      <c r="U618" s="19">
        <v>0</v>
      </c>
      <c r="V618" s="20">
        <v>0.70467109031624031</v>
      </c>
      <c r="W618" s="20">
        <v>-0.70953411085903473</v>
      </c>
      <c r="Z618" s="15">
        <v>100</v>
      </c>
      <c r="AD618" s="1">
        <v>5.1810239000000005</v>
      </c>
      <c r="AE618" s="22" t="s">
        <v>74</v>
      </c>
      <c r="AF618" s="22"/>
    </row>
    <row r="619" spans="1:32" x14ac:dyDescent="0.2">
      <c r="A619" s="1">
        <v>801</v>
      </c>
      <c r="D619" s="1" t="s">
        <v>4</v>
      </c>
      <c r="E619" s="1" t="s">
        <v>25</v>
      </c>
      <c r="F619" s="15">
        <v>0.5</v>
      </c>
      <c r="G619" s="1">
        <v>0</v>
      </c>
      <c r="H619" s="15">
        <v>0.8</v>
      </c>
      <c r="I619" s="1">
        <f t="shared" si="43"/>
        <v>0.5</v>
      </c>
      <c r="O619" s="18">
        <v>21</v>
      </c>
      <c r="Q619" s="1" t="s">
        <v>33</v>
      </c>
      <c r="R619" s="20" t="str">
        <f t="shared" si="42"/>
        <v>inclined</v>
      </c>
      <c r="S619" s="19">
        <v>0</v>
      </c>
      <c r="T619" s="19">
        <v>0</v>
      </c>
      <c r="U619" s="19">
        <v>0</v>
      </c>
      <c r="V619" s="20">
        <v>0.49716087509115064</v>
      </c>
      <c r="W619" s="20">
        <v>-0.8676583799391332</v>
      </c>
      <c r="Z619" s="15">
        <v>100</v>
      </c>
      <c r="AD619" s="1">
        <v>4.2979422099999995</v>
      </c>
      <c r="AE619" s="22" t="s">
        <v>74</v>
      </c>
      <c r="AF619" s="22"/>
    </row>
    <row r="620" spans="1:32" x14ac:dyDescent="0.2">
      <c r="A620" s="1">
        <v>802</v>
      </c>
      <c r="D620" s="1" t="s">
        <v>4</v>
      </c>
      <c r="E620" s="1" t="s">
        <v>25</v>
      </c>
      <c r="F620" s="15">
        <v>0.5</v>
      </c>
      <c r="G620" s="1">
        <v>0</v>
      </c>
      <c r="H620" s="15">
        <v>0.8</v>
      </c>
      <c r="I620" s="1">
        <f t="shared" si="43"/>
        <v>0.5</v>
      </c>
      <c r="O620" s="18">
        <v>21</v>
      </c>
      <c r="Q620" s="1" t="s">
        <v>33</v>
      </c>
      <c r="R620" s="20" t="str">
        <f t="shared" si="42"/>
        <v>inclined</v>
      </c>
      <c r="S620" s="19">
        <v>0</v>
      </c>
      <c r="T620" s="19">
        <v>0</v>
      </c>
      <c r="U620" s="19">
        <v>0</v>
      </c>
      <c r="V620" s="20">
        <v>0.25587563621256731</v>
      </c>
      <c r="W620" s="20">
        <v>-0.96670970761279418</v>
      </c>
      <c r="Z620" s="15">
        <v>100</v>
      </c>
      <c r="AD620" s="1">
        <v>3.3069351000000005</v>
      </c>
      <c r="AE620" s="22" t="s">
        <v>74</v>
      </c>
      <c r="AF620" s="22"/>
    </row>
    <row r="621" spans="1:32" x14ac:dyDescent="0.2">
      <c r="A621" s="1">
        <v>803</v>
      </c>
      <c r="D621" s="1" t="s">
        <v>4</v>
      </c>
      <c r="E621" s="1" t="s">
        <v>25</v>
      </c>
      <c r="F621" s="15">
        <v>0.5</v>
      </c>
      <c r="G621" s="1">
        <v>0</v>
      </c>
      <c r="H621" s="15">
        <v>0.8</v>
      </c>
      <c r="I621" s="1">
        <f t="shared" si="43"/>
        <v>0.5</v>
      </c>
      <c r="O621" s="18">
        <v>21</v>
      </c>
      <c r="Q621" s="1" t="s">
        <v>33</v>
      </c>
      <c r="R621" s="20" t="str">
        <f t="shared" si="42"/>
        <v>inclined</v>
      </c>
      <c r="S621" s="19">
        <v>0</v>
      </c>
      <c r="T621" s="19">
        <v>0</v>
      </c>
      <c r="U621" s="19">
        <v>0</v>
      </c>
      <c r="V621" s="20">
        <v>-2.9703145214695446E-3</v>
      </c>
      <c r="W621" s="20">
        <v>-0.99999558860609161</v>
      </c>
      <c r="Z621" s="15">
        <v>100</v>
      </c>
      <c r="AD621" s="1">
        <v>3.0328003099999998</v>
      </c>
      <c r="AE621" s="22" t="s">
        <v>74</v>
      </c>
      <c r="AF621" s="22"/>
    </row>
    <row r="622" spans="1:32" x14ac:dyDescent="0.2">
      <c r="A622" s="1">
        <v>804</v>
      </c>
      <c r="D622" s="1" t="s">
        <v>4</v>
      </c>
      <c r="E622" s="1" t="s">
        <v>25</v>
      </c>
      <c r="F622" s="15">
        <v>0.5</v>
      </c>
      <c r="G622" s="1">
        <v>0</v>
      </c>
      <c r="H622" s="15">
        <v>0.8</v>
      </c>
      <c r="I622" s="1">
        <f t="shared" si="43"/>
        <v>0.5</v>
      </c>
      <c r="O622" s="18">
        <v>21</v>
      </c>
      <c r="Q622" s="1" t="s">
        <v>33</v>
      </c>
      <c r="R622" s="20" t="str">
        <f t="shared" si="42"/>
        <v>inclined</v>
      </c>
      <c r="S622" s="19">
        <v>0</v>
      </c>
      <c r="T622" s="19">
        <v>0</v>
      </c>
      <c r="U622" s="19">
        <v>0</v>
      </c>
      <c r="V622" s="20">
        <v>-0.25854250676131996</v>
      </c>
      <c r="W622" s="20">
        <v>-0.96599988208983378</v>
      </c>
      <c r="Z622" s="15">
        <v>100</v>
      </c>
      <c r="AD622" s="1">
        <v>3.3993924899999999</v>
      </c>
      <c r="AE622" s="22" t="s">
        <v>74</v>
      </c>
      <c r="AF622" s="22"/>
    </row>
    <row r="623" spans="1:32" x14ac:dyDescent="0.2">
      <c r="A623" s="1">
        <v>805</v>
      </c>
      <c r="D623" s="1" t="s">
        <v>4</v>
      </c>
      <c r="E623" s="1" t="s">
        <v>25</v>
      </c>
      <c r="F623" s="15">
        <v>0.5</v>
      </c>
      <c r="G623" s="1">
        <v>0</v>
      </c>
      <c r="H623" s="15">
        <v>0.8</v>
      </c>
      <c r="I623" s="1">
        <f t="shared" si="43"/>
        <v>0.5</v>
      </c>
      <c r="O623" s="18">
        <v>21</v>
      </c>
      <c r="Q623" s="1" t="s">
        <v>33</v>
      </c>
      <c r="R623" s="20" t="str">
        <f t="shared" si="42"/>
        <v>inclined</v>
      </c>
      <c r="S623" s="19">
        <v>0</v>
      </c>
      <c r="T623" s="19">
        <v>0</v>
      </c>
      <c r="U623" s="19">
        <v>0</v>
      </c>
      <c r="V623" s="20">
        <v>-0.49989550563788615</v>
      </c>
      <c r="W623" s="20">
        <v>-0.86608572522761396</v>
      </c>
      <c r="Z623" s="15">
        <v>100</v>
      </c>
      <c r="AD623" s="1">
        <v>4.1081440499999999</v>
      </c>
      <c r="AE623" s="22" t="s">
        <v>74</v>
      </c>
      <c r="AF623" s="22"/>
    </row>
    <row r="624" spans="1:32" x14ac:dyDescent="0.2">
      <c r="A624" s="1">
        <v>806</v>
      </c>
      <c r="D624" s="1" t="s">
        <v>4</v>
      </c>
      <c r="E624" s="1" t="s">
        <v>25</v>
      </c>
      <c r="F624" s="15">
        <v>0.5</v>
      </c>
      <c r="G624" s="1">
        <v>0</v>
      </c>
      <c r="H624" s="15">
        <v>0.8</v>
      </c>
      <c r="I624" s="1">
        <f t="shared" si="43"/>
        <v>0.5</v>
      </c>
      <c r="O624" s="18">
        <v>21</v>
      </c>
      <c r="Q624" s="1" t="s">
        <v>33</v>
      </c>
      <c r="R624" s="20" t="str">
        <f t="shared" si="42"/>
        <v>inclined</v>
      </c>
      <c r="S624" s="19">
        <v>0</v>
      </c>
      <c r="T624" s="19">
        <v>0</v>
      </c>
      <c r="U624" s="19">
        <v>0</v>
      </c>
      <c r="V624" s="20">
        <v>-0.70708428834497761</v>
      </c>
      <c r="W624" s="20">
        <v>-0.70712927331265008</v>
      </c>
      <c r="Z624" s="15">
        <v>100</v>
      </c>
      <c r="AD624" s="1">
        <v>4.5474035400000004</v>
      </c>
      <c r="AE624" s="22" t="s">
        <v>74</v>
      </c>
      <c r="AF624" s="22"/>
    </row>
    <row r="625" spans="1:32" x14ac:dyDescent="0.2">
      <c r="A625" s="1">
        <v>807</v>
      </c>
      <c r="D625" s="1" t="s">
        <v>4</v>
      </c>
      <c r="E625" s="1" t="s">
        <v>25</v>
      </c>
      <c r="F625" s="15">
        <v>0.5</v>
      </c>
      <c r="G625" s="1">
        <v>0</v>
      </c>
      <c r="H625" s="15">
        <v>0.8</v>
      </c>
      <c r="I625" s="1">
        <f t="shared" si="43"/>
        <v>0.5</v>
      </c>
      <c r="O625" s="18">
        <v>21</v>
      </c>
      <c r="Q625" s="1" t="s">
        <v>33</v>
      </c>
      <c r="R625" s="20" t="str">
        <f t="shared" si="42"/>
        <v>inclined</v>
      </c>
      <c r="S625" s="19">
        <v>0</v>
      </c>
      <c r="T625" s="19">
        <v>0</v>
      </c>
      <c r="U625" s="19">
        <v>0</v>
      </c>
      <c r="V625" s="20">
        <v>-0.96605430937828285</v>
      </c>
      <c r="W625" s="20">
        <v>-0.25833906272890494</v>
      </c>
      <c r="Z625" s="15">
        <v>100</v>
      </c>
      <c r="AD625" s="1">
        <v>8.3232287100000004</v>
      </c>
      <c r="AE625" s="22" t="s">
        <v>74</v>
      </c>
      <c r="AF625" s="22"/>
    </row>
    <row r="626" spans="1:32" x14ac:dyDescent="0.2">
      <c r="A626" s="1">
        <v>808</v>
      </c>
      <c r="D626" s="1" t="s">
        <v>4</v>
      </c>
      <c r="E626" s="1" t="s">
        <v>25</v>
      </c>
      <c r="F626" s="15">
        <v>0.8</v>
      </c>
      <c r="G626" s="1">
        <v>0</v>
      </c>
      <c r="H626" s="15">
        <v>1.1000000000000001</v>
      </c>
      <c r="I626" s="1">
        <f t="shared" si="43"/>
        <v>0.8</v>
      </c>
      <c r="O626" s="18">
        <v>21</v>
      </c>
      <c r="Q626" s="1" t="s">
        <v>33</v>
      </c>
      <c r="R626" s="20" t="str">
        <f t="shared" si="42"/>
        <v>inclined</v>
      </c>
      <c r="S626" s="19">
        <v>0</v>
      </c>
      <c r="T626" s="19">
        <v>0</v>
      </c>
      <c r="U626" s="19">
        <v>0</v>
      </c>
      <c r="V626" s="20">
        <v>0.99999390913816366</v>
      </c>
      <c r="W626" s="20">
        <v>-3.4902272954651248E-3</v>
      </c>
      <c r="Z626" s="15">
        <v>100</v>
      </c>
      <c r="AD626" s="1">
        <v>5.49559642</v>
      </c>
      <c r="AE626" s="22" t="s">
        <v>74</v>
      </c>
      <c r="AF626" s="22"/>
    </row>
    <row r="627" spans="1:32" x14ac:dyDescent="0.2">
      <c r="A627" s="1">
        <v>809</v>
      </c>
      <c r="D627" s="1" t="s">
        <v>4</v>
      </c>
      <c r="E627" s="1" t="s">
        <v>25</v>
      </c>
      <c r="F627" s="15">
        <v>0.8</v>
      </c>
      <c r="G627" s="1">
        <v>0</v>
      </c>
      <c r="H627" s="15">
        <v>1.1000000000000001</v>
      </c>
      <c r="I627" s="1">
        <f t="shared" si="43"/>
        <v>0.8</v>
      </c>
      <c r="O627" s="18">
        <v>21</v>
      </c>
      <c r="Q627" s="1" t="s">
        <v>33</v>
      </c>
      <c r="R627" s="20" t="str">
        <f t="shared" si="42"/>
        <v>inclined</v>
      </c>
      <c r="S627" s="19">
        <v>0</v>
      </c>
      <c r="T627" s="19">
        <v>0</v>
      </c>
      <c r="U627" s="19">
        <v>0</v>
      </c>
      <c r="V627" s="20">
        <v>0.96504507104677184</v>
      </c>
      <c r="W627" s="20">
        <v>-0.26208397671038786</v>
      </c>
      <c r="Z627" s="15">
        <v>100</v>
      </c>
      <c r="AD627" s="1">
        <v>4.8539247300000001</v>
      </c>
      <c r="AE627" s="22" t="s">
        <v>74</v>
      </c>
      <c r="AF627" s="22"/>
    </row>
    <row r="628" spans="1:32" x14ac:dyDescent="0.2">
      <c r="A628" s="1">
        <v>810</v>
      </c>
      <c r="D628" s="1" t="s">
        <v>4</v>
      </c>
      <c r="E628" s="1" t="s">
        <v>25</v>
      </c>
      <c r="F628" s="15">
        <v>0.8</v>
      </c>
      <c r="G628" s="1">
        <v>0</v>
      </c>
      <c r="H628" s="15">
        <v>1.1000000000000001</v>
      </c>
      <c r="I628" s="1">
        <f t="shared" si="43"/>
        <v>0.8</v>
      </c>
      <c r="O628" s="18">
        <v>21</v>
      </c>
      <c r="Q628" s="1" t="s">
        <v>33</v>
      </c>
      <c r="R628" s="20" t="str">
        <f t="shared" si="42"/>
        <v>inclined</v>
      </c>
      <c r="S628" s="19">
        <v>0</v>
      </c>
      <c r="T628" s="19">
        <v>0</v>
      </c>
      <c r="U628" s="19">
        <v>0</v>
      </c>
      <c r="V628" s="20">
        <v>0.70727351614397727</v>
      </c>
      <c r="W628" s="20">
        <v>-0.70694000690393466</v>
      </c>
      <c r="Z628" s="15">
        <v>100</v>
      </c>
      <c r="AD628" s="1">
        <v>3.6012716400000002</v>
      </c>
      <c r="AE628" s="22" t="s">
        <v>74</v>
      </c>
      <c r="AF628" s="22"/>
    </row>
    <row r="629" spans="1:32" x14ac:dyDescent="0.2">
      <c r="A629" s="1">
        <v>811</v>
      </c>
      <c r="D629" s="1" t="s">
        <v>4</v>
      </c>
      <c r="E629" s="1" t="s">
        <v>25</v>
      </c>
      <c r="F629" s="15">
        <v>0.8</v>
      </c>
      <c r="G629" s="1">
        <v>0</v>
      </c>
      <c r="H629" s="15">
        <v>1.1000000000000001</v>
      </c>
      <c r="I629" s="1">
        <f t="shared" si="43"/>
        <v>0.8</v>
      </c>
      <c r="O629" s="18">
        <v>21</v>
      </c>
      <c r="Q629" s="1" t="s">
        <v>33</v>
      </c>
      <c r="R629" s="20" t="str">
        <f t="shared" si="42"/>
        <v>inclined</v>
      </c>
      <c r="S629" s="19">
        <v>0</v>
      </c>
      <c r="T629" s="19">
        <v>0</v>
      </c>
      <c r="U629" s="19">
        <v>0</v>
      </c>
      <c r="V629" s="20">
        <v>0.49742732955001345</v>
      </c>
      <c r="W629" s="20">
        <v>-0.86750564944370379</v>
      </c>
      <c r="Z629" s="15">
        <v>100</v>
      </c>
      <c r="AD629" s="1">
        <v>3.0252027500000001</v>
      </c>
      <c r="AE629" s="22" t="s">
        <v>74</v>
      </c>
      <c r="AF629" s="22"/>
    </row>
    <row r="630" spans="1:32" x14ac:dyDescent="0.2">
      <c r="A630" s="1">
        <v>812</v>
      </c>
      <c r="D630" s="1" t="s">
        <v>4</v>
      </c>
      <c r="E630" s="1" t="s">
        <v>25</v>
      </c>
      <c r="F630" s="15">
        <v>0.8</v>
      </c>
      <c r="G630" s="1">
        <v>0</v>
      </c>
      <c r="H630" s="15">
        <v>1.1000000000000001</v>
      </c>
      <c r="I630" s="1">
        <f t="shared" si="43"/>
        <v>0.8</v>
      </c>
      <c r="O630" s="18">
        <v>21</v>
      </c>
      <c r="Q630" s="1" t="s">
        <v>33</v>
      </c>
      <c r="R630" s="20" t="str">
        <f t="shared" si="42"/>
        <v>inclined</v>
      </c>
      <c r="S630" s="19">
        <v>0</v>
      </c>
      <c r="T630" s="19">
        <v>0</v>
      </c>
      <c r="U630" s="19">
        <v>0</v>
      </c>
      <c r="V630" s="20">
        <v>0.2560558917844617</v>
      </c>
      <c r="W630" s="20">
        <v>-0.96666197829565226</v>
      </c>
      <c r="Z630" s="15">
        <v>100</v>
      </c>
      <c r="AD630" s="1">
        <v>2.6719768500000001</v>
      </c>
      <c r="AE630" s="22" t="s">
        <v>74</v>
      </c>
      <c r="AF630" s="22"/>
    </row>
    <row r="631" spans="1:32" x14ac:dyDescent="0.2">
      <c r="A631" s="1">
        <v>813</v>
      </c>
      <c r="D631" s="1" t="s">
        <v>4</v>
      </c>
      <c r="E631" s="1" t="s">
        <v>25</v>
      </c>
      <c r="F631" s="15">
        <v>0.8</v>
      </c>
      <c r="G631" s="1">
        <v>0</v>
      </c>
      <c r="H631" s="15">
        <v>1.1000000000000001</v>
      </c>
      <c r="I631" s="1">
        <f t="shared" si="43"/>
        <v>0.8</v>
      </c>
      <c r="O631" s="18">
        <v>21</v>
      </c>
      <c r="Q631" s="1" t="s">
        <v>33</v>
      </c>
      <c r="R631" s="20" t="str">
        <f t="shared" si="42"/>
        <v>inclined</v>
      </c>
      <c r="S631" s="19">
        <v>0</v>
      </c>
      <c r="T631" s="19">
        <v>0</v>
      </c>
      <c r="U631" s="19">
        <v>0</v>
      </c>
      <c r="V631" s="20">
        <v>-2.8386909014676818E-3</v>
      </c>
      <c r="W631" s="20">
        <v>-0.99999597090886616</v>
      </c>
      <c r="Z631" s="15">
        <v>100</v>
      </c>
      <c r="AD631" s="1">
        <v>2.60905999</v>
      </c>
      <c r="AE631" s="22" t="s">
        <v>74</v>
      </c>
      <c r="AF631" s="22"/>
    </row>
    <row r="632" spans="1:32" x14ac:dyDescent="0.2">
      <c r="A632" s="1">
        <v>814</v>
      </c>
      <c r="D632" s="1" t="s">
        <v>4</v>
      </c>
      <c r="E632" s="1" t="s">
        <v>25</v>
      </c>
      <c r="F632" s="15">
        <v>0.8</v>
      </c>
      <c r="G632" s="1">
        <v>0</v>
      </c>
      <c r="H632" s="15">
        <v>1.1000000000000001</v>
      </c>
      <c r="I632" s="1">
        <f t="shared" si="43"/>
        <v>0.8</v>
      </c>
      <c r="O632" s="18">
        <v>21</v>
      </c>
      <c r="Q632" s="1" t="s">
        <v>33</v>
      </c>
      <c r="R632" s="20" t="str">
        <f t="shared" si="42"/>
        <v>inclined</v>
      </c>
      <c r="S632" s="19">
        <v>0</v>
      </c>
      <c r="T632" s="19">
        <v>0</v>
      </c>
      <c r="U632" s="19">
        <v>0</v>
      </c>
      <c r="V632" s="20">
        <v>-0.25836237460567363</v>
      </c>
      <c r="W632" s="20">
        <v>-0.96604807509156476</v>
      </c>
      <c r="Z632" s="15">
        <v>100</v>
      </c>
      <c r="AD632" s="1">
        <v>2.7466816700000001</v>
      </c>
      <c r="AE632" s="22" t="s">
        <v>74</v>
      </c>
      <c r="AF632" s="22"/>
    </row>
    <row r="633" spans="1:32" x14ac:dyDescent="0.2">
      <c r="A633" s="1">
        <v>815</v>
      </c>
      <c r="D633" s="1" t="s">
        <v>4</v>
      </c>
      <c r="E633" s="1" t="s">
        <v>25</v>
      </c>
      <c r="F633" s="15">
        <v>0.8</v>
      </c>
      <c r="G633" s="1">
        <v>0</v>
      </c>
      <c r="H633" s="15">
        <v>1.1000000000000001</v>
      </c>
      <c r="I633" s="1">
        <f t="shared" si="43"/>
        <v>0.8</v>
      </c>
      <c r="O633" s="18">
        <v>21</v>
      </c>
      <c r="Q633" s="1" t="s">
        <v>33</v>
      </c>
      <c r="R633" s="20" t="str">
        <f t="shared" si="42"/>
        <v>inclined</v>
      </c>
      <c r="S633" s="19">
        <v>0</v>
      </c>
      <c r="T633" s="19">
        <v>0</v>
      </c>
      <c r="U633" s="19">
        <v>0</v>
      </c>
      <c r="V633" s="20">
        <v>-0.50250567753131137</v>
      </c>
      <c r="W633" s="20">
        <v>-0.86457390895677499</v>
      </c>
      <c r="Z633" s="15">
        <v>100</v>
      </c>
      <c r="AD633" s="1">
        <v>2.7848808800000002</v>
      </c>
      <c r="AE633" s="22" t="s">
        <v>74</v>
      </c>
      <c r="AF633" s="22"/>
    </row>
    <row r="634" spans="1:32" x14ac:dyDescent="0.2">
      <c r="A634" s="1">
        <v>816</v>
      </c>
      <c r="D634" s="1" t="s">
        <v>4</v>
      </c>
      <c r="E634" s="1" t="s">
        <v>25</v>
      </c>
      <c r="F634" s="15">
        <v>0.8</v>
      </c>
      <c r="G634" s="1">
        <v>0</v>
      </c>
      <c r="H634" s="15">
        <v>1.1000000000000001</v>
      </c>
      <c r="I634" s="1">
        <f t="shared" si="43"/>
        <v>0.8</v>
      </c>
      <c r="O634" s="18">
        <v>21</v>
      </c>
      <c r="Q634" s="1" t="s">
        <v>33</v>
      </c>
      <c r="R634" s="20" t="str">
        <f t="shared" si="42"/>
        <v>inclined</v>
      </c>
      <c r="S634" s="19">
        <v>0</v>
      </c>
      <c r="T634" s="19">
        <v>0</v>
      </c>
      <c r="U634" s="19">
        <v>0</v>
      </c>
      <c r="V634" s="20">
        <v>-0.70689811323190799</v>
      </c>
      <c r="W634" s="20">
        <v>-0.70731538758121804</v>
      </c>
      <c r="Z634" s="15">
        <v>100</v>
      </c>
      <c r="AD634" s="1">
        <v>3.36545659</v>
      </c>
      <c r="AE634" s="22" t="s">
        <v>74</v>
      </c>
      <c r="AF634" s="22"/>
    </row>
    <row r="635" spans="1:32" x14ac:dyDescent="0.2">
      <c r="A635" s="1">
        <v>817</v>
      </c>
      <c r="D635" s="1" t="s">
        <v>4</v>
      </c>
      <c r="E635" s="1" t="s">
        <v>25</v>
      </c>
      <c r="F635" s="15">
        <v>0.8</v>
      </c>
      <c r="G635" s="1">
        <v>0</v>
      </c>
      <c r="H635" s="15">
        <v>1.1000000000000001</v>
      </c>
      <c r="I635" s="1">
        <f t="shared" si="43"/>
        <v>0.8</v>
      </c>
      <c r="O635" s="18">
        <v>21</v>
      </c>
      <c r="Q635" s="1" t="s">
        <v>33</v>
      </c>
      <c r="R635" s="20" t="str">
        <f t="shared" si="42"/>
        <v>inclined</v>
      </c>
      <c r="S635" s="19">
        <v>0</v>
      </c>
      <c r="T635" s="19">
        <v>0</v>
      </c>
      <c r="U635" s="19">
        <v>0</v>
      </c>
      <c r="V635" s="20">
        <v>-0.96594370907558325</v>
      </c>
      <c r="W635" s="20">
        <v>-0.25875229640972286</v>
      </c>
      <c r="Z635" s="15">
        <v>100</v>
      </c>
      <c r="AD635" s="1">
        <v>5.1035531000000001</v>
      </c>
      <c r="AE635" s="22" t="s">
        <v>74</v>
      </c>
      <c r="AF635" s="22"/>
    </row>
    <row r="636" spans="1:32" x14ac:dyDescent="0.2">
      <c r="A636" s="1">
        <v>818</v>
      </c>
      <c r="D636" s="1" t="s">
        <v>4</v>
      </c>
      <c r="E636" s="1" t="s">
        <v>25</v>
      </c>
      <c r="F636" s="15">
        <v>0.8</v>
      </c>
      <c r="G636" s="1">
        <v>0</v>
      </c>
      <c r="H636" s="15">
        <v>1.4</v>
      </c>
      <c r="I636" s="1">
        <f t="shared" si="43"/>
        <v>0.8</v>
      </c>
      <c r="O636" s="18">
        <v>21</v>
      </c>
      <c r="Q636" s="1" t="s">
        <v>33</v>
      </c>
      <c r="R636" s="20" t="str">
        <f t="shared" si="42"/>
        <v>inclined</v>
      </c>
      <c r="S636" s="19">
        <v>0</v>
      </c>
      <c r="T636" s="19">
        <v>0</v>
      </c>
      <c r="U636" s="19">
        <v>0</v>
      </c>
      <c r="V636" s="20">
        <v>0.999975421770678</v>
      </c>
      <c r="W636" s="20">
        <v>-7.0111236299623863E-3</v>
      </c>
      <c r="Z636" s="15">
        <v>100</v>
      </c>
      <c r="AD636" s="1">
        <v>6.6331757300000005</v>
      </c>
      <c r="AE636" s="22" t="s">
        <v>74</v>
      </c>
      <c r="AF636" s="22"/>
    </row>
    <row r="637" spans="1:32" x14ac:dyDescent="0.2">
      <c r="A637" s="1">
        <v>819</v>
      </c>
      <c r="D637" s="1" t="s">
        <v>4</v>
      </c>
      <c r="E637" s="1" t="s">
        <v>25</v>
      </c>
      <c r="F637" s="15">
        <v>0.8</v>
      </c>
      <c r="G637" s="1">
        <v>0</v>
      </c>
      <c r="H637" s="15">
        <v>1.4</v>
      </c>
      <c r="I637" s="1">
        <f t="shared" si="43"/>
        <v>0.8</v>
      </c>
      <c r="O637" s="18">
        <v>21</v>
      </c>
      <c r="Q637" s="1" t="s">
        <v>33</v>
      </c>
      <c r="R637" s="20" t="str">
        <f t="shared" si="42"/>
        <v>inclined</v>
      </c>
      <c r="S637" s="19">
        <v>0</v>
      </c>
      <c r="T637" s="19">
        <v>0</v>
      </c>
      <c r="U637" s="19">
        <v>0</v>
      </c>
      <c r="V637" s="20">
        <v>0.96499330735691946</v>
      </c>
      <c r="W637" s="20">
        <v>-0.26227450649339507</v>
      </c>
      <c r="Z637" s="15">
        <v>100</v>
      </c>
      <c r="AD637" s="1">
        <v>6.0832079600000002</v>
      </c>
      <c r="AE637" s="22" t="s">
        <v>74</v>
      </c>
      <c r="AF637" s="22"/>
    </row>
    <row r="638" spans="1:32" x14ac:dyDescent="0.2">
      <c r="A638" s="1">
        <v>820</v>
      </c>
      <c r="D638" s="1" t="s">
        <v>4</v>
      </c>
      <c r="E638" s="1" t="s">
        <v>25</v>
      </c>
      <c r="F638" s="15">
        <v>0.8</v>
      </c>
      <c r="G638" s="1">
        <v>0</v>
      </c>
      <c r="H638" s="15">
        <v>1.4</v>
      </c>
      <c r="I638" s="1">
        <f t="shared" si="43"/>
        <v>0.8</v>
      </c>
      <c r="O638" s="18">
        <v>21</v>
      </c>
      <c r="Q638" s="1" t="s">
        <v>33</v>
      </c>
      <c r="R638" s="20" t="str">
        <f t="shared" si="42"/>
        <v>inclined</v>
      </c>
      <c r="S638" s="19">
        <v>0</v>
      </c>
      <c r="T638" s="19">
        <v>0</v>
      </c>
      <c r="U638" s="19">
        <v>0</v>
      </c>
      <c r="V638" s="20">
        <v>0.70713392676665088</v>
      </c>
      <c r="W638" s="20">
        <v>-0.7070796345642949</v>
      </c>
      <c r="Z638" s="15">
        <v>100</v>
      </c>
      <c r="AD638" s="1">
        <v>4.5133135700000002</v>
      </c>
      <c r="AE638" s="22" t="s">
        <v>74</v>
      </c>
      <c r="AF638" s="22"/>
    </row>
    <row r="639" spans="1:32" x14ac:dyDescent="0.2">
      <c r="A639" s="1">
        <v>821</v>
      </c>
      <c r="D639" s="1" t="s">
        <v>4</v>
      </c>
      <c r="E639" s="1" t="s">
        <v>25</v>
      </c>
      <c r="F639" s="15">
        <v>0.8</v>
      </c>
      <c r="G639" s="1">
        <v>0</v>
      </c>
      <c r="H639" s="15">
        <v>1.4</v>
      </c>
      <c r="I639" s="1">
        <f t="shared" si="43"/>
        <v>0.8</v>
      </c>
      <c r="O639" s="18">
        <v>21</v>
      </c>
      <c r="Q639" s="1" t="s">
        <v>33</v>
      </c>
      <c r="R639" s="20" t="str">
        <f t="shared" si="42"/>
        <v>inclined</v>
      </c>
      <c r="S639" s="19">
        <v>0</v>
      </c>
      <c r="T639" s="19">
        <v>0</v>
      </c>
      <c r="U639" s="19">
        <v>0</v>
      </c>
      <c r="V639" s="20">
        <v>0.49735120449124237</v>
      </c>
      <c r="W639" s="20">
        <v>-0.86754929507844702</v>
      </c>
      <c r="Z639" s="15">
        <v>100</v>
      </c>
      <c r="AD639" s="1">
        <v>3.3444726899999999</v>
      </c>
      <c r="AE639" s="22" t="s">
        <v>74</v>
      </c>
      <c r="AF639" s="22"/>
    </row>
    <row r="640" spans="1:32" x14ac:dyDescent="0.2">
      <c r="A640" s="1">
        <v>822</v>
      </c>
      <c r="D640" s="1" t="s">
        <v>4</v>
      </c>
      <c r="E640" s="1" t="s">
        <v>25</v>
      </c>
      <c r="F640" s="15">
        <v>0.8</v>
      </c>
      <c r="G640" s="1">
        <v>0</v>
      </c>
      <c r="H640" s="15">
        <v>1.4</v>
      </c>
      <c r="I640" s="1">
        <f t="shared" si="43"/>
        <v>0.8</v>
      </c>
      <c r="O640" s="18">
        <v>21</v>
      </c>
      <c r="Q640" s="1" t="s">
        <v>33</v>
      </c>
      <c r="R640" s="20" t="str">
        <f t="shared" si="42"/>
        <v>inclined</v>
      </c>
      <c r="S640" s="19">
        <v>0</v>
      </c>
      <c r="T640" s="19">
        <v>0</v>
      </c>
      <c r="U640" s="19">
        <v>0</v>
      </c>
      <c r="V640" s="20">
        <v>0.25928837003983224</v>
      </c>
      <c r="W640" s="20">
        <v>-0.96579994883106457</v>
      </c>
      <c r="Z640" s="15">
        <v>100</v>
      </c>
      <c r="AD640" s="1">
        <v>2.7056545999999999</v>
      </c>
      <c r="AE640" s="22" t="s">
        <v>74</v>
      </c>
      <c r="AF640" s="22"/>
    </row>
    <row r="641" spans="1:32" x14ac:dyDescent="0.2">
      <c r="A641" s="1">
        <v>823</v>
      </c>
      <c r="D641" s="1" t="s">
        <v>4</v>
      </c>
      <c r="E641" s="1" t="s">
        <v>25</v>
      </c>
      <c r="F641" s="15">
        <v>0.8</v>
      </c>
      <c r="G641" s="1">
        <v>0</v>
      </c>
      <c r="H641" s="15">
        <v>1.4</v>
      </c>
      <c r="I641" s="1">
        <f t="shared" si="43"/>
        <v>0.8</v>
      </c>
      <c r="O641" s="18">
        <v>21</v>
      </c>
      <c r="Q641" s="1" t="s">
        <v>33</v>
      </c>
      <c r="R641" s="20" t="str">
        <f t="shared" si="42"/>
        <v>inclined</v>
      </c>
      <c r="S641" s="19">
        <v>0</v>
      </c>
      <c r="T641" s="19">
        <v>0</v>
      </c>
      <c r="U641" s="19">
        <v>0</v>
      </c>
      <c r="V641" s="20">
        <v>-6.052481373881694E-3</v>
      </c>
      <c r="W641" s="20">
        <v>-0.99998168356686357</v>
      </c>
      <c r="Z641" s="15">
        <v>100</v>
      </c>
      <c r="AD641" s="1">
        <v>2.2165863300000002</v>
      </c>
      <c r="AE641" s="22" t="s">
        <v>74</v>
      </c>
      <c r="AF641" s="22"/>
    </row>
    <row r="642" spans="1:32" x14ac:dyDescent="0.2">
      <c r="A642" s="1">
        <v>824</v>
      </c>
      <c r="D642" s="1" t="s">
        <v>4</v>
      </c>
      <c r="E642" s="1" t="s">
        <v>25</v>
      </c>
      <c r="F642" s="15">
        <v>0.8</v>
      </c>
      <c r="G642" s="1">
        <v>0</v>
      </c>
      <c r="H642" s="15">
        <v>1.4</v>
      </c>
      <c r="I642" s="1">
        <f t="shared" si="43"/>
        <v>0.8</v>
      </c>
      <c r="O642" s="18">
        <v>21</v>
      </c>
      <c r="Q642" s="1" t="s">
        <v>33</v>
      </c>
      <c r="R642" s="20" t="str">
        <f t="shared" si="42"/>
        <v>inclined</v>
      </c>
      <c r="S642" s="19">
        <v>0</v>
      </c>
      <c r="T642" s="19">
        <v>0</v>
      </c>
      <c r="U642" s="19">
        <v>0</v>
      </c>
      <c r="V642" s="20">
        <v>-0.25822462042492189</v>
      </c>
      <c r="W642" s="20">
        <v>-0.96608490589927187</v>
      </c>
      <c r="Z642" s="15">
        <v>100</v>
      </c>
      <c r="AD642" s="1">
        <v>2.3334684499999998</v>
      </c>
      <c r="AE642" s="22" t="s">
        <v>74</v>
      </c>
      <c r="AF642" s="22"/>
    </row>
    <row r="643" spans="1:32" x14ac:dyDescent="0.2">
      <c r="A643" s="1">
        <v>825</v>
      </c>
      <c r="D643" s="1" t="s">
        <v>4</v>
      </c>
      <c r="E643" s="1" t="s">
        <v>25</v>
      </c>
      <c r="F643" s="15">
        <v>0.8</v>
      </c>
      <c r="G643" s="1">
        <v>0</v>
      </c>
      <c r="H643" s="15">
        <v>1.4</v>
      </c>
      <c r="I643" s="1">
        <f t="shared" si="43"/>
        <v>0.8</v>
      </c>
      <c r="O643" s="18">
        <v>21</v>
      </c>
      <c r="Q643" s="1" t="s">
        <v>33</v>
      </c>
      <c r="R643" s="20" t="str">
        <f t="shared" si="42"/>
        <v>inclined</v>
      </c>
      <c r="S643" s="19">
        <v>0</v>
      </c>
      <c r="T643" s="19">
        <v>0</v>
      </c>
      <c r="U643" s="19">
        <v>0</v>
      </c>
      <c r="V643" s="20">
        <v>-0.50528166568890054</v>
      </c>
      <c r="W643" s="20">
        <v>-0.86295448218237447</v>
      </c>
      <c r="Z643" s="15">
        <v>100</v>
      </c>
      <c r="AD643" s="1">
        <v>2.3659589699999999</v>
      </c>
      <c r="AE643" s="22" t="s">
        <v>74</v>
      </c>
      <c r="AF643" s="22"/>
    </row>
    <row r="644" spans="1:32" x14ac:dyDescent="0.2">
      <c r="A644" s="1">
        <v>826</v>
      </c>
      <c r="D644" s="1" t="s">
        <v>4</v>
      </c>
      <c r="E644" s="1" t="s">
        <v>25</v>
      </c>
      <c r="F644" s="15">
        <v>0.8</v>
      </c>
      <c r="G644" s="1">
        <v>0</v>
      </c>
      <c r="H644" s="15">
        <v>1.4</v>
      </c>
      <c r="I644" s="1">
        <f t="shared" si="43"/>
        <v>0.8</v>
      </c>
      <c r="O644" s="18">
        <v>21</v>
      </c>
      <c r="Q644" s="1" t="s">
        <v>33</v>
      </c>
      <c r="R644" s="20" t="str">
        <f t="shared" ref="R644:R707" si="44">R643</f>
        <v>inclined</v>
      </c>
      <c r="S644" s="19">
        <v>0</v>
      </c>
      <c r="T644" s="19">
        <v>0</v>
      </c>
      <c r="U644" s="19">
        <v>0</v>
      </c>
      <c r="V644" s="20">
        <v>-0.70678172890879121</v>
      </c>
      <c r="W644" s="20">
        <v>-0.70743168410857871</v>
      </c>
      <c r="Z644" s="15">
        <v>100</v>
      </c>
      <c r="AD644" s="1">
        <v>2.7883308600000003</v>
      </c>
      <c r="AE644" s="22" t="s">
        <v>74</v>
      </c>
      <c r="AF644" s="22"/>
    </row>
    <row r="645" spans="1:32" s="4" customFormat="1" x14ac:dyDescent="0.2">
      <c r="A645" s="1">
        <v>827</v>
      </c>
      <c r="B645" s="52"/>
      <c r="D645" s="4" t="s">
        <v>4</v>
      </c>
      <c r="E645" s="4" t="s">
        <v>25</v>
      </c>
      <c r="F645" s="53">
        <v>0.8</v>
      </c>
      <c r="G645" s="4">
        <v>0</v>
      </c>
      <c r="H645" s="53">
        <v>1.4</v>
      </c>
      <c r="I645" s="4">
        <f t="shared" si="43"/>
        <v>0.8</v>
      </c>
      <c r="J645" s="54"/>
      <c r="K645" s="54"/>
      <c r="L645" s="54"/>
      <c r="M645" s="55"/>
      <c r="N645" s="56"/>
      <c r="O645" s="56">
        <v>21</v>
      </c>
      <c r="P645" s="57"/>
      <c r="Q645" s="1" t="s">
        <v>33</v>
      </c>
      <c r="R645" s="20" t="str">
        <f t="shared" si="44"/>
        <v>inclined</v>
      </c>
      <c r="S645" s="58">
        <v>0</v>
      </c>
      <c r="T645" s="58">
        <v>0</v>
      </c>
      <c r="U645" s="58">
        <v>0</v>
      </c>
      <c r="V645" s="59">
        <v>-0.966756281451566</v>
      </c>
      <c r="W645" s="59">
        <v>-0.25569961336290775</v>
      </c>
      <c r="Y645" s="56"/>
      <c r="Z645" s="53">
        <v>100</v>
      </c>
      <c r="AA645" s="54"/>
      <c r="AB645" s="54"/>
      <c r="AC645" s="54"/>
      <c r="AD645" s="4">
        <v>4.0723021599999996</v>
      </c>
      <c r="AE645" s="60" t="s">
        <v>74</v>
      </c>
      <c r="AF645" s="22"/>
    </row>
    <row r="646" spans="1:32" s="3" customFormat="1" x14ac:dyDescent="0.2">
      <c r="A646" s="1">
        <v>828</v>
      </c>
      <c r="B646" s="47"/>
      <c r="D646" s="3" t="s">
        <v>4</v>
      </c>
      <c r="E646" s="3" t="s">
        <v>25</v>
      </c>
      <c r="F646" s="34">
        <v>0.3</v>
      </c>
      <c r="G646" s="34">
        <v>0</v>
      </c>
      <c r="H646" s="34">
        <v>0.6</v>
      </c>
      <c r="I646" s="3">
        <f t="shared" si="43"/>
        <v>0.3</v>
      </c>
      <c r="J646" s="48"/>
      <c r="K646" s="48"/>
      <c r="L646" s="48"/>
      <c r="M646" s="49"/>
      <c r="N646" s="50"/>
      <c r="O646" s="50">
        <v>21</v>
      </c>
      <c r="P646" s="51"/>
      <c r="Q646" s="1" t="s">
        <v>33</v>
      </c>
      <c r="R646" s="20" t="str">
        <f t="shared" si="44"/>
        <v>inclined</v>
      </c>
      <c r="S646" s="35">
        <v>0</v>
      </c>
      <c r="T646" s="35">
        <v>0</v>
      </c>
      <c r="U646" s="35">
        <v>0</v>
      </c>
      <c r="V646" s="36">
        <v>1</v>
      </c>
      <c r="W646" s="36">
        <v>0</v>
      </c>
      <c r="Y646" s="50"/>
      <c r="Z646" s="34">
        <v>64</v>
      </c>
      <c r="AA646" s="48"/>
      <c r="AB646" s="48"/>
      <c r="AC646" s="48"/>
      <c r="AD646" s="3">
        <v>10.58650179</v>
      </c>
      <c r="AE646" s="37" t="s">
        <v>75</v>
      </c>
      <c r="AF646" s="22"/>
    </row>
    <row r="647" spans="1:32" x14ac:dyDescent="0.2">
      <c r="A647" s="1">
        <v>829</v>
      </c>
      <c r="D647" s="1" t="s">
        <v>4</v>
      </c>
      <c r="E647" s="1" t="s">
        <v>25</v>
      </c>
      <c r="F647" s="15">
        <v>0.3</v>
      </c>
      <c r="G647" s="15">
        <v>0</v>
      </c>
      <c r="H647" s="15">
        <v>0.6</v>
      </c>
      <c r="I647" s="1">
        <f t="shared" si="43"/>
        <v>0.3</v>
      </c>
      <c r="O647" s="18">
        <v>21</v>
      </c>
      <c r="Q647" s="1" t="s">
        <v>33</v>
      </c>
      <c r="R647" s="20" t="str">
        <f t="shared" si="44"/>
        <v>inclined</v>
      </c>
      <c r="S647" s="19">
        <v>0</v>
      </c>
      <c r="T647" s="19">
        <v>0</v>
      </c>
      <c r="U647" s="19">
        <v>0</v>
      </c>
      <c r="V647" s="20">
        <v>0.96647084358314816</v>
      </c>
      <c r="W647" s="20">
        <v>-0.25677637839894474</v>
      </c>
      <c r="Z647" s="15">
        <v>64</v>
      </c>
      <c r="AD647" s="1">
        <v>8.5249741199999995</v>
      </c>
      <c r="AE647" s="22" t="s">
        <v>75</v>
      </c>
      <c r="AF647" s="22"/>
    </row>
    <row r="648" spans="1:32" x14ac:dyDescent="0.2">
      <c r="A648" s="1">
        <v>830</v>
      </c>
      <c r="D648" s="1" t="s">
        <v>4</v>
      </c>
      <c r="E648" s="1" t="s">
        <v>25</v>
      </c>
      <c r="F648" s="15">
        <v>0.3</v>
      </c>
      <c r="G648" s="15">
        <v>0</v>
      </c>
      <c r="H648" s="15">
        <v>0.6</v>
      </c>
      <c r="I648" s="1">
        <f t="shared" ref="I648:I711" si="45">F648</f>
        <v>0.3</v>
      </c>
      <c r="O648" s="18">
        <v>21</v>
      </c>
      <c r="Q648" s="1" t="s">
        <v>33</v>
      </c>
      <c r="R648" s="20" t="str">
        <f t="shared" si="44"/>
        <v>inclined</v>
      </c>
      <c r="S648" s="19">
        <v>0</v>
      </c>
      <c r="T648" s="19">
        <v>0</v>
      </c>
      <c r="U648" s="19">
        <v>0</v>
      </c>
      <c r="V648" s="20">
        <v>0.71157726971733914</v>
      </c>
      <c r="W648" s="20">
        <v>-0.70260784881868299</v>
      </c>
      <c r="Z648" s="15">
        <v>64</v>
      </c>
      <c r="AD648" s="1">
        <v>7.5203425599999996</v>
      </c>
      <c r="AE648" s="22" t="s">
        <v>75</v>
      </c>
      <c r="AF648" s="22"/>
    </row>
    <row r="649" spans="1:32" x14ac:dyDescent="0.2">
      <c r="A649" s="1">
        <v>831</v>
      </c>
      <c r="D649" s="1" t="s">
        <v>4</v>
      </c>
      <c r="E649" s="1" t="s">
        <v>25</v>
      </c>
      <c r="F649" s="15">
        <v>0.3</v>
      </c>
      <c r="G649" s="15">
        <v>0</v>
      </c>
      <c r="H649" s="15">
        <v>0.6</v>
      </c>
      <c r="I649" s="1">
        <f t="shared" si="45"/>
        <v>0.3</v>
      </c>
      <c r="O649" s="18">
        <v>21</v>
      </c>
      <c r="Q649" s="1" t="s">
        <v>33</v>
      </c>
      <c r="R649" s="20" t="str">
        <f t="shared" si="44"/>
        <v>inclined</v>
      </c>
      <c r="S649" s="19">
        <v>0</v>
      </c>
      <c r="T649" s="19">
        <v>0</v>
      </c>
      <c r="U649" s="19">
        <v>0</v>
      </c>
      <c r="V649" s="20">
        <v>0.50061017167878863</v>
      </c>
      <c r="W649" s="20">
        <v>-0.86567283428078867</v>
      </c>
      <c r="Z649" s="15">
        <v>64</v>
      </c>
      <c r="AD649" s="1">
        <v>7.2675183800000003</v>
      </c>
      <c r="AE649" s="22" t="s">
        <v>75</v>
      </c>
      <c r="AF649" s="22"/>
    </row>
    <row r="650" spans="1:32" x14ac:dyDescent="0.2">
      <c r="A650" s="1">
        <v>832</v>
      </c>
      <c r="D650" s="1" t="s">
        <v>4</v>
      </c>
      <c r="E650" s="1" t="s">
        <v>25</v>
      </c>
      <c r="F650" s="15">
        <v>0.3</v>
      </c>
      <c r="G650" s="15">
        <v>0</v>
      </c>
      <c r="H650" s="15">
        <v>0.6</v>
      </c>
      <c r="I650" s="1">
        <f t="shared" si="45"/>
        <v>0.3</v>
      </c>
      <c r="O650" s="18">
        <v>21</v>
      </c>
      <c r="Q650" s="1" t="s">
        <v>33</v>
      </c>
      <c r="R650" s="20" t="str">
        <f t="shared" si="44"/>
        <v>inclined</v>
      </c>
      <c r="S650" s="19">
        <v>0</v>
      </c>
      <c r="T650" s="19">
        <v>0</v>
      </c>
      <c r="U650" s="19">
        <v>0</v>
      </c>
      <c r="V650" s="20">
        <v>0.25779785578021447</v>
      </c>
      <c r="W650" s="20">
        <v>-0.96619887474325061</v>
      </c>
      <c r="Z650" s="15">
        <v>64</v>
      </c>
      <c r="AD650" s="1">
        <v>5.9193937200000004</v>
      </c>
      <c r="AE650" s="22" t="s">
        <v>75</v>
      </c>
      <c r="AF650" s="22"/>
    </row>
    <row r="651" spans="1:32" x14ac:dyDescent="0.2">
      <c r="A651" s="1">
        <v>833</v>
      </c>
      <c r="D651" s="1" t="s">
        <v>4</v>
      </c>
      <c r="E651" s="1" t="s">
        <v>25</v>
      </c>
      <c r="F651" s="15">
        <v>0.3</v>
      </c>
      <c r="G651" s="15">
        <v>0</v>
      </c>
      <c r="H651" s="15">
        <v>0.6</v>
      </c>
      <c r="I651" s="1">
        <f t="shared" si="45"/>
        <v>0.3</v>
      </c>
      <c r="O651" s="18">
        <v>21</v>
      </c>
      <c r="Q651" s="1" t="s">
        <v>33</v>
      </c>
      <c r="R651" s="20" t="str">
        <f t="shared" si="44"/>
        <v>inclined</v>
      </c>
      <c r="S651" s="19">
        <v>0</v>
      </c>
      <c r="T651" s="19">
        <v>0</v>
      </c>
      <c r="U651" s="19">
        <v>0</v>
      </c>
      <c r="V651" s="20">
        <v>4.9329428860516332E-3</v>
      </c>
      <c r="W651" s="20">
        <v>-0.99998783296322313</v>
      </c>
      <c r="Z651" s="15">
        <v>64</v>
      </c>
      <c r="AD651" s="1">
        <v>4.6064497399999995</v>
      </c>
      <c r="AE651" s="22" t="s">
        <v>75</v>
      </c>
      <c r="AF651" s="22"/>
    </row>
    <row r="652" spans="1:32" x14ac:dyDescent="0.2">
      <c r="A652" s="1">
        <v>834</v>
      </c>
      <c r="D652" s="1" t="s">
        <v>4</v>
      </c>
      <c r="E652" s="1" t="s">
        <v>25</v>
      </c>
      <c r="F652" s="15">
        <v>0.3</v>
      </c>
      <c r="G652" s="15">
        <v>0</v>
      </c>
      <c r="H652" s="15">
        <v>0.6</v>
      </c>
      <c r="I652" s="1">
        <f t="shared" si="45"/>
        <v>0.3</v>
      </c>
      <c r="O652" s="18">
        <v>21</v>
      </c>
      <c r="Q652" s="1" t="s">
        <v>33</v>
      </c>
      <c r="R652" s="20" t="str">
        <f t="shared" si="44"/>
        <v>inclined</v>
      </c>
      <c r="S652" s="19">
        <v>0</v>
      </c>
      <c r="T652" s="19">
        <v>0</v>
      </c>
      <c r="U652" s="19">
        <v>0</v>
      </c>
      <c r="V652" s="20">
        <v>-0.25575461410008887</v>
      </c>
      <c r="W652" s="20">
        <v>-0.9667417325048685</v>
      </c>
      <c r="Z652" s="15">
        <v>64</v>
      </c>
      <c r="AD652" s="1">
        <v>4.3019302699999997</v>
      </c>
      <c r="AE652" s="22" t="s">
        <v>75</v>
      </c>
      <c r="AF652" s="22"/>
    </row>
    <row r="653" spans="1:32" x14ac:dyDescent="0.2">
      <c r="A653" s="1">
        <v>835</v>
      </c>
      <c r="D653" s="1" t="s">
        <v>4</v>
      </c>
      <c r="E653" s="1" t="s">
        <v>25</v>
      </c>
      <c r="F653" s="15">
        <v>0.3</v>
      </c>
      <c r="G653" s="15">
        <v>0</v>
      </c>
      <c r="H653" s="15">
        <v>0.6</v>
      </c>
      <c r="I653" s="1">
        <f t="shared" si="45"/>
        <v>0.3</v>
      </c>
      <c r="O653" s="18">
        <v>21</v>
      </c>
      <c r="Q653" s="1" t="s">
        <v>33</v>
      </c>
      <c r="R653" s="20" t="str">
        <f t="shared" si="44"/>
        <v>inclined</v>
      </c>
      <c r="S653" s="19">
        <v>0</v>
      </c>
      <c r="T653" s="19">
        <v>0</v>
      </c>
      <c r="U653" s="19">
        <v>0</v>
      </c>
      <c r="V653" s="20">
        <v>-0.49877891202346497</v>
      </c>
      <c r="W653" s="20">
        <v>-0.86672925237393983</v>
      </c>
      <c r="Z653" s="15">
        <v>64</v>
      </c>
      <c r="AD653" s="1">
        <v>4.5026205200000007</v>
      </c>
      <c r="AE653" s="22" t="s">
        <v>75</v>
      </c>
      <c r="AF653" s="22"/>
    </row>
    <row r="654" spans="1:32" x14ac:dyDescent="0.2">
      <c r="A654" s="1">
        <v>836</v>
      </c>
      <c r="D654" s="1" t="s">
        <v>4</v>
      </c>
      <c r="E654" s="1" t="s">
        <v>25</v>
      </c>
      <c r="F654" s="15">
        <v>0.3</v>
      </c>
      <c r="G654" s="15">
        <v>0</v>
      </c>
      <c r="H654" s="15">
        <v>0.6</v>
      </c>
      <c r="I654" s="1">
        <f t="shared" si="45"/>
        <v>0.3</v>
      </c>
      <c r="O654" s="18">
        <v>21</v>
      </c>
      <c r="Q654" s="1" t="s">
        <v>33</v>
      </c>
      <c r="R654" s="20" t="str">
        <f t="shared" si="44"/>
        <v>inclined</v>
      </c>
      <c r="S654" s="19">
        <v>0</v>
      </c>
      <c r="T654" s="19">
        <v>0</v>
      </c>
      <c r="U654" s="19">
        <v>0</v>
      </c>
      <c r="V654" s="20">
        <v>-0.70461087434180825</v>
      </c>
      <c r="W654" s="20">
        <v>-0.70959390904888164</v>
      </c>
      <c r="Z654" s="15">
        <v>64</v>
      </c>
      <c r="AD654" s="1">
        <v>5.1041190099999998</v>
      </c>
      <c r="AE654" s="22" t="s">
        <v>75</v>
      </c>
      <c r="AF654" s="22"/>
    </row>
    <row r="655" spans="1:32" x14ac:dyDescent="0.2">
      <c r="A655" s="1">
        <v>837</v>
      </c>
      <c r="D655" s="1" t="s">
        <v>4</v>
      </c>
      <c r="E655" s="1" t="s">
        <v>25</v>
      </c>
      <c r="F655" s="15">
        <v>0.3</v>
      </c>
      <c r="G655" s="15">
        <v>0</v>
      </c>
      <c r="H655" s="15">
        <v>0.6</v>
      </c>
      <c r="I655" s="1">
        <f t="shared" si="45"/>
        <v>0.3</v>
      </c>
      <c r="O655" s="18">
        <v>21</v>
      </c>
      <c r="Q655" s="1" t="s">
        <v>33</v>
      </c>
      <c r="R655" s="20" t="str">
        <f t="shared" si="44"/>
        <v>inclined</v>
      </c>
      <c r="S655" s="19">
        <v>0</v>
      </c>
      <c r="T655" s="19">
        <v>0</v>
      </c>
      <c r="U655" s="19">
        <v>0</v>
      </c>
      <c r="V655" s="20">
        <v>-0.96491541686729698</v>
      </c>
      <c r="W655" s="20">
        <v>-0.26256092300989964</v>
      </c>
      <c r="Z655" s="15">
        <v>64</v>
      </c>
      <c r="AD655" s="1">
        <v>6.8648912799999993</v>
      </c>
      <c r="AE655" s="22" t="s">
        <v>75</v>
      </c>
      <c r="AF655" s="22"/>
    </row>
    <row r="656" spans="1:32" x14ac:dyDescent="0.2">
      <c r="A656" s="1">
        <v>838</v>
      </c>
      <c r="D656" s="1" t="s">
        <v>4</v>
      </c>
      <c r="E656" s="1" t="s">
        <v>25</v>
      </c>
      <c r="F656" s="15">
        <v>0.5</v>
      </c>
      <c r="G656" s="15">
        <v>0</v>
      </c>
      <c r="H656" s="15">
        <v>0.8</v>
      </c>
      <c r="I656" s="1">
        <f t="shared" si="45"/>
        <v>0.5</v>
      </c>
      <c r="O656" s="18">
        <v>21</v>
      </c>
      <c r="Q656" s="1" t="s">
        <v>33</v>
      </c>
      <c r="R656" s="20" t="str">
        <f t="shared" si="44"/>
        <v>inclined</v>
      </c>
      <c r="S656" s="19">
        <v>0</v>
      </c>
      <c r="T656" s="19">
        <v>0</v>
      </c>
      <c r="U656" s="19">
        <v>0</v>
      </c>
      <c r="V656" s="20">
        <v>1</v>
      </c>
      <c r="W656" s="20">
        <v>0</v>
      </c>
      <c r="Z656" s="15">
        <v>64</v>
      </c>
      <c r="AD656" s="1">
        <v>6.9435914299999997</v>
      </c>
      <c r="AE656" s="22" t="s">
        <v>75</v>
      </c>
      <c r="AF656" s="22"/>
    </row>
    <row r="657" spans="1:32" x14ac:dyDescent="0.2">
      <c r="A657" s="1">
        <v>839</v>
      </c>
      <c r="D657" s="1" t="s">
        <v>4</v>
      </c>
      <c r="E657" s="1" t="s">
        <v>25</v>
      </c>
      <c r="F657" s="15">
        <v>0.5</v>
      </c>
      <c r="G657" s="15">
        <v>0</v>
      </c>
      <c r="H657" s="15">
        <v>0.8</v>
      </c>
      <c r="I657" s="1">
        <f t="shared" si="45"/>
        <v>0.5</v>
      </c>
      <c r="O657" s="18">
        <v>21</v>
      </c>
      <c r="Q657" s="1" t="s">
        <v>33</v>
      </c>
      <c r="R657" s="20" t="str">
        <f t="shared" si="44"/>
        <v>inclined</v>
      </c>
      <c r="S657" s="19">
        <v>0</v>
      </c>
      <c r="T657" s="19">
        <v>0</v>
      </c>
      <c r="U657" s="19">
        <v>0</v>
      </c>
      <c r="V657" s="20">
        <v>0.96647084358314816</v>
      </c>
      <c r="W657" s="20">
        <v>-0.25677637839894474</v>
      </c>
      <c r="Z657" s="15">
        <v>64</v>
      </c>
      <c r="AD657" s="1">
        <v>5.1626333999999998</v>
      </c>
      <c r="AE657" s="22" t="s">
        <v>75</v>
      </c>
      <c r="AF657" s="22"/>
    </row>
    <row r="658" spans="1:32" x14ac:dyDescent="0.2">
      <c r="A658" s="1">
        <v>840</v>
      </c>
      <c r="D658" s="1" t="s">
        <v>4</v>
      </c>
      <c r="E658" s="1" t="s">
        <v>25</v>
      </c>
      <c r="F658" s="15">
        <v>0.5</v>
      </c>
      <c r="G658" s="15">
        <v>0</v>
      </c>
      <c r="H658" s="15">
        <v>0.8</v>
      </c>
      <c r="I658" s="1">
        <f t="shared" si="45"/>
        <v>0.5</v>
      </c>
      <c r="O658" s="18">
        <v>21</v>
      </c>
      <c r="Q658" s="1" t="s">
        <v>33</v>
      </c>
      <c r="R658" s="20" t="str">
        <f t="shared" si="44"/>
        <v>inclined</v>
      </c>
      <c r="S658" s="19">
        <v>0</v>
      </c>
      <c r="T658" s="19">
        <v>0</v>
      </c>
      <c r="U658" s="19">
        <v>0</v>
      </c>
      <c r="V658" s="20">
        <v>0.70884869432271991</v>
      </c>
      <c r="W658" s="20">
        <v>-0.70536056634672684</v>
      </c>
      <c r="Z658" s="15">
        <v>64</v>
      </c>
      <c r="AD658" s="1">
        <v>4.4011316200000001</v>
      </c>
      <c r="AE658" s="22" t="s">
        <v>75</v>
      </c>
      <c r="AF658" s="22"/>
    </row>
    <row r="659" spans="1:32" x14ac:dyDescent="0.2">
      <c r="A659" s="1">
        <v>841</v>
      </c>
      <c r="D659" s="1" t="s">
        <v>4</v>
      </c>
      <c r="E659" s="1" t="s">
        <v>25</v>
      </c>
      <c r="F659" s="15">
        <v>0.5</v>
      </c>
      <c r="G659" s="15">
        <v>0</v>
      </c>
      <c r="H659" s="15">
        <v>0.8</v>
      </c>
      <c r="I659" s="1">
        <f t="shared" si="45"/>
        <v>0.5</v>
      </c>
      <c r="O659" s="18">
        <v>21</v>
      </c>
      <c r="Q659" s="1" t="s">
        <v>33</v>
      </c>
      <c r="R659" s="20" t="str">
        <f t="shared" si="44"/>
        <v>inclined</v>
      </c>
      <c r="S659" s="19">
        <v>0</v>
      </c>
      <c r="T659" s="19">
        <v>0</v>
      </c>
      <c r="U659" s="19">
        <v>0</v>
      </c>
      <c r="V659" s="20">
        <v>0.50061017167878863</v>
      </c>
      <c r="W659" s="20">
        <v>-0.86567283428078867</v>
      </c>
      <c r="Z659" s="15">
        <v>64</v>
      </c>
      <c r="AD659" s="1">
        <v>3.7949662800000001</v>
      </c>
      <c r="AE659" s="22" t="s">
        <v>75</v>
      </c>
      <c r="AF659" s="22"/>
    </row>
    <row r="660" spans="1:32" x14ac:dyDescent="0.2">
      <c r="A660" s="1">
        <v>842</v>
      </c>
      <c r="D660" s="1" t="s">
        <v>4</v>
      </c>
      <c r="E660" s="1" t="s">
        <v>25</v>
      </c>
      <c r="F660" s="15">
        <v>0.5</v>
      </c>
      <c r="G660" s="15">
        <v>0</v>
      </c>
      <c r="H660" s="15">
        <v>0.8</v>
      </c>
      <c r="I660" s="1">
        <f t="shared" si="45"/>
        <v>0.5</v>
      </c>
      <c r="O660" s="18">
        <v>21</v>
      </c>
      <c r="Q660" s="1" t="s">
        <v>33</v>
      </c>
      <c r="R660" s="20" t="str">
        <f t="shared" si="44"/>
        <v>inclined</v>
      </c>
      <c r="S660" s="19">
        <v>0</v>
      </c>
      <c r="T660" s="19">
        <v>0</v>
      </c>
      <c r="U660" s="19">
        <v>0</v>
      </c>
      <c r="V660" s="20">
        <v>0.26154079966373434</v>
      </c>
      <c r="W660" s="20">
        <v>-0.96519242128772142</v>
      </c>
      <c r="Z660" s="15">
        <v>64</v>
      </c>
      <c r="AD660" s="1">
        <v>3.5847217100000002</v>
      </c>
      <c r="AE660" s="22" t="s">
        <v>75</v>
      </c>
      <c r="AF660" s="22"/>
    </row>
    <row r="661" spans="1:32" x14ac:dyDescent="0.2">
      <c r="A661" s="1">
        <v>843</v>
      </c>
      <c r="D661" s="1" t="s">
        <v>4</v>
      </c>
      <c r="E661" s="1" t="s">
        <v>25</v>
      </c>
      <c r="F661" s="15">
        <v>0.5</v>
      </c>
      <c r="G661" s="15">
        <v>0</v>
      </c>
      <c r="H661" s="15">
        <v>0.8</v>
      </c>
      <c r="I661" s="1">
        <f t="shared" si="45"/>
        <v>0.5</v>
      </c>
      <c r="O661" s="18">
        <v>21</v>
      </c>
      <c r="Q661" s="1" t="s">
        <v>33</v>
      </c>
      <c r="R661" s="20" t="str">
        <f t="shared" si="44"/>
        <v>inclined</v>
      </c>
      <c r="S661" s="19">
        <v>0</v>
      </c>
      <c r="T661" s="19">
        <v>0</v>
      </c>
      <c r="U661" s="19">
        <v>0</v>
      </c>
      <c r="V661" s="20">
        <v>4.9329428860516332E-3</v>
      </c>
      <c r="W661" s="20">
        <v>-0.99998783296322313</v>
      </c>
      <c r="Z661" s="15">
        <v>64</v>
      </c>
      <c r="AD661" s="1">
        <v>3.19853049</v>
      </c>
      <c r="AE661" s="22" t="s">
        <v>75</v>
      </c>
      <c r="AF661" s="22"/>
    </row>
    <row r="662" spans="1:32" x14ac:dyDescent="0.2">
      <c r="A662" s="1">
        <v>844</v>
      </c>
      <c r="D662" s="1" t="s">
        <v>4</v>
      </c>
      <c r="E662" s="1" t="s">
        <v>25</v>
      </c>
      <c r="F662" s="15">
        <v>0.5</v>
      </c>
      <c r="G662" s="15">
        <v>0</v>
      </c>
      <c r="H662" s="15">
        <v>0.8</v>
      </c>
      <c r="I662" s="1">
        <f t="shared" si="45"/>
        <v>0.5</v>
      </c>
      <c r="O662" s="18">
        <v>21</v>
      </c>
      <c r="Q662" s="1" t="s">
        <v>33</v>
      </c>
      <c r="R662" s="20" t="str">
        <f t="shared" si="44"/>
        <v>inclined</v>
      </c>
      <c r="S662" s="19">
        <v>0</v>
      </c>
      <c r="T662" s="19">
        <v>0</v>
      </c>
      <c r="U662" s="19">
        <v>0</v>
      </c>
      <c r="V662" s="20">
        <v>-0.25575461410008887</v>
      </c>
      <c r="W662" s="20">
        <v>-0.9667417325048685</v>
      </c>
      <c r="Z662" s="15">
        <v>64</v>
      </c>
      <c r="AD662" s="1">
        <v>3.2722877399999999</v>
      </c>
      <c r="AE662" s="22" t="s">
        <v>75</v>
      </c>
      <c r="AF662" s="22"/>
    </row>
    <row r="663" spans="1:32" x14ac:dyDescent="0.2">
      <c r="A663" s="1">
        <v>845</v>
      </c>
      <c r="D663" s="1" t="s">
        <v>4</v>
      </c>
      <c r="E663" s="1" t="s">
        <v>25</v>
      </c>
      <c r="F663" s="15">
        <v>0.5</v>
      </c>
      <c r="G663" s="15">
        <v>0</v>
      </c>
      <c r="H663" s="15">
        <v>0.8</v>
      </c>
      <c r="I663" s="1">
        <f t="shared" si="45"/>
        <v>0.5</v>
      </c>
      <c r="O663" s="18">
        <v>21</v>
      </c>
      <c r="Q663" s="1" t="s">
        <v>33</v>
      </c>
      <c r="R663" s="20" t="str">
        <f t="shared" si="44"/>
        <v>inclined</v>
      </c>
      <c r="S663" s="19">
        <v>0</v>
      </c>
      <c r="T663" s="19">
        <v>0</v>
      </c>
      <c r="U663" s="19">
        <v>0</v>
      </c>
      <c r="V663" s="20">
        <v>-0.49877891202346497</v>
      </c>
      <c r="W663" s="20">
        <v>-0.86672925237393983</v>
      </c>
      <c r="Z663" s="15">
        <v>64</v>
      </c>
      <c r="AD663" s="1">
        <v>3.3861248799999997</v>
      </c>
      <c r="AE663" s="22" t="s">
        <v>75</v>
      </c>
      <c r="AF663" s="22"/>
    </row>
    <row r="664" spans="1:32" x14ac:dyDescent="0.2">
      <c r="A664" s="1">
        <v>846</v>
      </c>
      <c r="D664" s="1" t="s">
        <v>4</v>
      </c>
      <c r="E664" s="1" t="s">
        <v>25</v>
      </c>
      <c r="F664" s="15">
        <v>0.5</v>
      </c>
      <c r="G664" s="15">
        <v>0</v>
      </c>
      <c r="H664" s="15">
        <v>0.8</v>
      </c>
      <c r="I664" s="1">
        <f t="shared" si="45"/>
        <v>0.5</v>
      </c>
      <c r="O664" s="18">
        <v>21</v>
      </c>
      <c r="Q664" s="1" t="s">
        <v>33</v>
      </c>
      <c r="R664" s="20" t="str">
        <f t="shared" si="44"/>
        <v>inclined</v>
      </c>
      <c r="S664" s="19">
        <v>0</v>
      </c>
      <c r="T664" s="19">
        <v>0</v>
      </c>
      <c r="U664" s="19">
        <v>0</v>
      </c>
      <c r="V664" s="20">
        <v>-0.70185527407482762</v>
      </c>
      <c r="W664" s="20">
        <v>-0.71231957312244942</v>
      </c>
      <c r="Z664" s="15">
        <v>64</v>
      </c>
      <c r="AD664" s="1">
        <v>3.5039222099999998</v>
      </c>
      <c r="AE664" s="22" t="s">
        <v>75</v>
      </c>
      <c r="AF664" s="22"/>
    </row>
    <row r="665" spans="1:32" x14ac:dyDescent="0.2">
      <c r="A665" s="1">
        <v>847</v>
      </c>
      <c r="D665" s="1" t="s">
        <v>4</v>
      </c>
      <c r="E665" s="1" t="s">
        <v>25</v>
      </c>
      <c r="F665" s="15">
        <v>0.5</v>
      </c>
      <c r="G665" s="15">
        <v>0</v>
      </c>
      <c r="H665" s="15">
        <v>0.8</v>
      </c>
      <c r="I665" s="1">
        <f t="shared" si="45"/>
        <v>0.5</v>
      </c>
      <c r="O665" s="18">
        <v>21</v>
      </c>
      <c r="Q665" s="1" t="s">
        <v>33</v>
      </c>
      <c r="R665" s="20" t="str">
        <f t="shared" si="44"/>
        <v>inclined</v>
      </c>
      <c r="S665" s="19">
        <v>0</v>
      </c>
      <c r="T665" s="19">
        <v>0</v>
      </c>
      <c r="U665" s="19">
        <v>0</v>
      </c>
      <c r="V665" s="20">
        <v>-0.96592582628906787</v>
      </c>
      <c r="W665" s="20">
        <v>-0.25881904510252235</v>
      </c>
      <c r="Z665" s="15">
        <v>64</v>
      </c>
      <c r="AD665" s="1">
        <v>4.8766188399999999</v>
      </c>
      <c r="AE665" s="22" t="s">
        <v>75</v>
      </c>
      <c r="AF665" s="22"/>
    </row>
    <row r="666" spans="1:32" x14ac:dyDescent="0.2">
      <c r="A666" s="1">
        <v>848</v>
      </c>
      <c r="D666" s="1" t="s">
        <v>4</v>
      </c>
      <c r="E666" s="1" t="s">
        <v>25</v>
      </c>
      <c r="F666" s="15">
        <v>0.8</v>
      </c>
      <c r="G666" s="15">
        <v>0</v>
      </c>
      <c r="H666" s="15">
        <v>1.1000000000000001</v>
      </c>
      <c r="I666" s="1">
        <f t="shared" si="45"/>
        <v>0.8</v>
      </c>
      <c r="O666" s="18">
        <v>21</v>
      </c>
      <c r="Q666" s="1" t="s">
        <v>33</v>
      </c>
      <c r="R666" s="20" t="str">
        <f t="shared" si="44"/>
        <v>inclined</v>
      </c>
      <c r="S666" s="19">
        <v>0</v>
      </c>
      <c r="T666" s="19">
        <v>0</v>
      </c>
      <c r="U666" s="19">
        <v>0</v>
      </c>
      <c r="V666" s="20">
        <v>0.99999248871126334</v>
      </c>
      <c r="W666" s="20">
        <v>3.8758897112602876E-3</v>
      </c>
      <c r="Z666" s="15">
        <v>64</v>
      </c>
      <c r="AD666" s="1">
        <v>4.5542392500000002</v>
      </c>
      <c r="AE666" s="22" t="s">
        <v>75</v>
      </c>
      <c r="AF666" s="22"/>
    </row>
    <row r="667" spans="1:32" x14ac:dyDescent="0.2">
      <c r="A667" s="1">
        <v>849</v>
      </c>
      <c r="D667" s="1" t="s">
        <v>4</v>
      </c>
      <c r="E667" s="1" t="s">
        <v>25</v>
      </c>
      <c r="F667" s="15">
        <v>0.8</v>
      </c>
      <c r="G667" s="15">
        <v>0</v>
      </c>
      <c r="H667" s="15">
        <v>1.1000000000000001</v>
      </c>
      <c r="I667" s="1">
        <f t="shared" si="45"/>
        <v>0.8</v>
      </c>
      <c r="O667" s="18">
        <v>21</v>
      </c>
      <c r="Q667" s="1" t="s">
        <v>33</v>
      </c>
      <c r="R667" s="20" t="str">
        <f t="shared" si="44"/>
        <v>inclined</v>
      </c>
      <c r="S667" s="19">
        <v>0</v>
      </c>
      <c r="T667" s="19">
        <v>0</v>
      </c>
      <c r="U667" s="19">
        <v>0</v>
      </c>
      <c r="V667" s="20">
        <v>0.96647084358314816</v>
      </c>
      <c r="W667" s="20">
        <v>-0.25677637839894474</v>
      </c>
      <c r="Z667" s="15">
        <v>64</v>
      </c>
      <c r="AD667" s="1">
        <v>3.4642079999999997</v>
      </c>
      <c r="AE667" s="22" t="s">
        <v>75</v>
      </c>
      <c r="AF667" s="22"/>
    </row>
    <row r="668" spans="1:32" x14ac:dyDescent="0.2">
      <c r="A668" s="1">
        <v>850</v>
      </c>
      <c r="D668" s="1" t="s">
        <v>4</v>
      </c>
      <c r="E668" s="1" t="s">
        <v>25</v>
      </c>
      <c r="F668" s="15">
        <v>0.8</v>
      </c>
      <c r="G668" s="15">
        <v>0</v>
      </c>
      <c r="H668" s="15">
        <v>1.1000000000000001</v>
      </c>
      <c r="I668" s="1">
        <f t="shared" si="45"/>
        <v>0.8</v>
      </c>
      <c r="O668" s="18">
        <v>21</v>
      </c>
      <c r="Q668" s="1" t="s">
        <v>33</v>
      </c>
      <c r="R668" s="20" t="str">
        <f t="shared" si="44"/>
        <v>inclined</v>
      </c>
      <c r="S668" s="19">
        <v>0</v>
      </c>
      <c r="T668" s="19">
        <v>0</v>
      </c>
      <c r="U668" s="19">
        <v>0</v>
      </c>
      <c r="V668" s="20">
        <v>0.70884869432271991</v>
      </c>
      <c r="W668" s="20">
        <v>-0.70536056634672684</v>
      </c>
      <c r="Z668" s="15">
        <v>64</v>
      </c>
      <c r="AD668" s="1">
        <v>3.0559659799999999</v>
      </c>
      <c r="AE668" s="22" t="s">
        <v>75</v>
      </c>
      <c r="AF668" s="22"/>
    </row>
    <row r="669" spans="1:32" x14ac:dyDescent="0.2">
      <c r="A669" s="1">
        <v>851</v>
      </c>
      <c r="D669" s="1" t="s">
        <v>4</v>
      </c>
      <c r="E669" s="1" t="s">
        <v>25</v>
      </c>
      <c r="F669" s="15">
        <v>0.8</v>
      </c>
      <c r="G669" s="15">
        <v>0</v>
      </c>
      <c r="H669" s="15">
        <v>1.1000000000000001</v>
      </c>
      <c r="I669" s="1">
        <f t="shared" si="45"/>
        <v>0.8</v>
      </c>
      <c r="O669" s="18">
        <v>21</v>
      </c>
      <c r="Q669" s="1" t="s">
        <v>33</v>
      </c>
      <c r="R669" s="20" t="str">
        <f t="shared" si="44"/>
        <v>inclined</v>
      </c>
      <c r="S669" s="19">
        <v>0</v>
      </c>
      <c r="T669" s="19">
        <v>0</v>
      </c>
      <c r="U669" s="19">
        <v>0</v>
      </c>
      <c r="V669" s="20">
        <v>0.50396166388295249</v>
      </c>
      <c r="W669" s="20">
        <v>-0.86372602214841598</v>
      </c>
      <c r="Z669" s="15">
        <v>64</v>
      </c>
      <c r="AD669" s="1">
        <v>2.72673897</v>
      </c>
      <c r="AE669" s="22" t="s">
        <v>75</v>
      </c>
      <c r="AF669" s="22"/>
    </row>
    <row r="670" spans="1:32" x14ac:dyDescent="0.2">
      <c r="A670" s="1">
        <v>852</v>
      </c>
      <c r="D670" s="1" t="s">
        <v>4</v>
      </c>
      <c r="E670" s="1" t="s">
        <v>25</v>
      </c>
      <c r="F670" s="15">
        <v>0.8</v>
      </c>
      <c r="G670" s="15">
        <v>0</v>
      </c>
      <c r="H670" s="15">
        <v>1.1000000000000001</v>
      </c>
      <c r="I670" s="1">
        <f t="shared" si="45"/>
        <v>0.8</v>
      </c>
      <c r="O670" s="18">
        <v>21</v>
      </c>
      <c r="Q670" s="1" t="s">
        <v>33</v>
      </c>
      <c r="R670" s="20" t="str">
        <f t="shared" si="44"/>
        <v>inclined</v>
      </c>
      <c r="S670" s="19">
        <v>0</v>
      </c>
      <c r="T670" s="19">
        <v>0</v>
      </c>
      <c r="U670" s="19">
        <v>0</v>
      </c>
      <c r="V670" s="20">
        <v>0.25779785578021447</v>
      </c>
      <c r="W670" s="20">
        <v>-0.96619887474325061</v>
      </c>
      <c r="Z670" s="15">
        <v>64</v>
      </c>
      <c r="AD670" s="1">
        <v>2.2981910999999999</v>
      </c>
      <c r="AE670" s="22" t="s">
        <v>75</v>
      </c>
      <c r="AF670" s="22"/>
    </row>
    <row r="671" spans="1:32" x14ac:dyDescent="0.2">
      <c r="A671" s="1">
        <v>853</v>
      </c>
      <c r="D671" s="1" t="s">
        <v>4</v>
      </c>
      <c r="E671" s="1" t="s">
        <v>25</v>
      </c>
      <c r="F671" s="15">
        <v>0.8</v>
      </c>
      <c r="G671" s="15">
        <v>0</v>
      </c>
      <c r="H671" s="15">
        <v>1.1000000000000001</v>
      </c>
      <c r="I671" s="1">
        <f t="shared" si="45"/>
        <v>0.8</v>
      </c>
      <c r="O671" s="18">
        <v>21</v>
      </c>
      <c r="Q671" s="1" t="s">
        <v>33</v>
      </c>
      <c r="R671" s="20" t="str">
        <f t="shared" si="44"/>
        <v>inclined</v>
      </c>
      <c r="S671" s="19">
        <v>0</v>
      </c>
      <c r="T671" s="19">
        <v>0</v>
      </c>
      <c r="U671" s="19">
        <v>0</v>
      </c>
      <c r="V671" s="20">
        <v>1.0570632801243961E-3</v>
      </c>
      <c r="W671" s="20">
        <v>-0.99999944130845486</v>
      </c>
      <c r="Z671" s="15">
        <v>64</v>
      </c>
      <c r="AD671" s="1">
        <v>2.07410951</v>
      </c>
      <c r="AE671" s="22" t="s">
        <v>75</v>
      </c>
      <c r="AF671" s="22"/>
    </row>
    <row r="672" spans="1:32" x14ac:dyDescent="0.2">
      <c r="A672" s="1">
        <v>854</v>
      </c>
      <c r="D672" s="1" t="s">
        <v>4</v>
      </c>
      <c r="E672" s="1" t="s">
        <v>25</v>
      </c>
      <c r="F672" s="15">
        <v>0.8</v>
      </c>
      <c r="G672" s="15">
        <v>0</v>
      </c>
      <c r="H672" s="15">
        <v>1.1000000000000001</v>
      </c>
      <c r="I672" s="1">
        <f t="shared" si="45"/>
        <v>0.8</v>
      </c>
      <c r="O672" s="18">
        <v>21</v>
      </c>
      <c r="Q672" s="1" t="s">
        <v>33</v>
      </c>
      <c r="R672" s="20" t="str">
        <f t="shared" si="44"/>
        <v>inclined</v>
      </c>
      <c r="S672" s="19">
        <v>0</v>
      </c>
      <c r="T672" s="19">
        <v>0</v>
      </c>
      <c r="U672" s="19">
        <v>0</v>
      </c>
      <c r="V672" s="20">
        <v>-0.25575461410008887</v>
      </c>
      <c r="W672" s="20">
        <v>-0.9667417325048685</v>
      </c>
      <c r="Z672" s="15">
        <v>64</v>
      </c>
      <c r="AD672" s="1">
        <v>2.3245379100000001</v>
      </c>
      <c r="AE672" s="22" t="s">
        <v>75</v>
      </c>
      <c r="AF672" s="22"/>
    </row>
    <row r="673" spans="1:32" x14ac:dyDescent="0.2">
      <c r="A673" s="1">
        <v>855</v>
      </c>
      <c r="D673" s="1" t="s">
        <v>4</v>
      </c>
      <c r="E673" s="1" t="s">
        <v>25</v>
      </c>
      <c r="F673" s="15">
        <v>0.8</v>
      </c>
      <c r="G673" s="15">
        <v>0</v>
      </c>
      <c r="H673" s="15">
        <v>1.1000000000000001</v>
      </c>
      <c r="I673" s="1">
        <f t="shared" si="45"/>
        <v>0.8</v>
      </c>
      <c r="O673" s="18">
        <v>21</v>
      </c>
      <c r="Q673" s="1" t="s">
        <v>33</v>
      </c>
      <c r="R673" s="20" t="str">
        <f t="shared" si="44"/>
        <v>inclined</v>
      </c>
      <c r="S673" s="19">
        <v>0</v>
      </c>
      <c r="T673" s="19">
        <v>0</v>
      </c>
      <c r="U673" s="19">
        <v>0</v>
      </c>
      <c r="V673" s="20">
        <v>-0.49877891202346497</v>
      </c>
      <c r="W673" s="20">
        <v>-0.86672925237393983</v>
      </c>
      <c r="Z673" s="15">
        <v>64</v>
      </c>
      <c r="AD673" s="1">
        <v>2.5464818999999999</v>
      </c>
      <c r="AE673" s="22" t="s">
        <v>75</v>
      </c>
      <c r="AF673" s="22"/>
    </row>
    <row r="674" spans="1:32" x14ac:dyDescent="0.2">
      <c r="A674" s="1">
        <v>856</v>
      </c>
      <c r="D674" s="1" t="s">
        <v>4</v>
      </c>
      <c r="E674" s="1" t="s">
        <v>25</v>
      </c>
      <c r="F674" s="15">
        <v>0.8</v>
      </c>
      <c r="G674" s="15">
        <v>0</v>
      </c>
      <c r="H674" s="15">
        <v>1.1000000000000001</v>
      </c>
      <c r="I674" s="1">
        <f t="shared" si="45"/>
        <v>0.8</v>
      </c>
      <c r="O674" s="18">
        <v>21</v>
      </c>
      <c r="Q674" s="1" t="s">
        <v>33</v>
      </c>
      <c r="R674" s="20" t="str">
        <f t="shared" si="44"/>
        <v>inclined</v>
      </c>
      <c r="S674" s="19">
        <v>0</v>
      </c>
      <c r="T674" s="19">
        <v>0</v>
      </c>
      <c r="U674" s="19">
        <v>0</v>
      </c>
      <c r="V674" s="20">
        <v>-0.70461087434180825</v>
      </c>
      <c r="W674" s="20">
        <v>-0.70959390904888164</v>
      </c>
      <c r="Z674" s="15">
        <v>64</v>
      </c>
      <c r="AD674" s="1">
        <v>2.8215974199999998</v>
      </c>
      <c r="AE674" s="22" t="s">
        <v>75</v>
      </c>
      <c r="AF674" s="22"/>
    </row>
    <row r="675" spans="1:32" x14ac:dyDescent="0.2">
      <c r="A675" s="1">
        <v>857</v>
      </c>
      <c r="D675" s="1" t="s">
        <v>4</v>
      </c>
      <c r="E675" s="1" t="s">
        <v>25</v>
      </c>
      <c r="F675" s="15">
        <v>0.8</v>
      </c>
      <c r="G675" s="15">
        <v>0</v>
      </c>
      <c r="H675" s="15">
        <v>1.1000000000000001</v>
      </c>
      <c r="I675" s="1">
        <f t="shared" si="45"/>
        <v>0.8</v>
      </c>
      <c r="O675" s="18">
        <v>21</v>
      </c>
      <c r="Q675" s="1" t="s">
        <v>33</v>
      </c>
      <c r="R675" s="20" t="str">
        <f t="shared" si="44"/>
        <v>inclined</v>
      </c>
      <c r="S675" s="19">
        <v>0</v>
      </c>
      <c r="T675" s="19">
        <v>0</v>
      </c>
      <c r="U675" s="19">
        <v>0</v>
      </c>
      <c r="V675" s="20">
        <v>-0.96491541686729698</v>
      </c>
      <c r="W675" s="20">
        <v>-0.26256092300989964</v>
      </c>
      <c r="Z675" s="15">
        <v>64</v>
      </c>
      <c r="AD675" s="1">
        <v>3.7094278699999998</v>
      </c>
      <c r="AE675" s="22" t="s">
        <v>75</v>
      </c>
      <c r="AF675" s="22"/>
    </row>
    <row r="676" spans="1:32" x14ac:dyDescent="0.2">
      <c r="A676" s="1">
        <v>858</v>
      </c>
      <c r="D676" s="1" t="s">
        <v>4</v>
      </c>
      <c r="E676" s="1" t="s">
        <v>25</v>
      </c>
      <c r="F676" s="15">
        <v>0.8</v>
      </c>
      <c r="G676" s="15">
        <v>0</v>
      </c>
      <c r="H676" s="15">
        <v>1.4</v>
      </c>
      <c r="I676" s="1">
        <f t="shared" si="45"/>
        <v>0.8</v>
      </c>
      <c r="O676" s="18">
        <v>21</v>
      </c>
      <c r="Q676" s="1" t="s">
        <v>33</v>
      </c>
      <c r="R676" s="20" t="str">
        <f t="shared" si="44"/>
        <v>inclined</v>
      </c>
      <c r="S676" s="19">
        <v>0</v>
      </c>
      <c r="T676" s="19">
        <v>0</v>
      </c>
      <c r="U676" s="19">
        <v>0</v>
      </c>
      <c r="V676" s="20">
        <v>0.99999248871126334</v>
      </c>
      <c r="W676" s="20">
        <v>3.8758897112602876E-3</v>
      </c>
      <c r="Z676" s="15">
        <v>64</v>
      </c>
      <c r="AD676" s="1">
        <v>4.8213461899999999</v>
      </c>
      <c r="AE676" s="22" t="s">
        <v>75</v>
      </c>
      <c r="AF676" s="22"/>
    </row>
    <row r="677" spans="1:32" x14ac:dyDescent="0.2">
      <c r="A677" s="1">
        <v>859</v>
      </c>
      <c r="D677" s="1" t="s">
        <v>4</v>
      </c>
      <c r="E677" s="1" t="s">
        <v>25</v>
      </c>
      <c r="F677" s="15">
        <v>0.8</v>
      </c>
      <c r="G677" s="15">
        <v>0</v>
      </c>
      <c r="H677" s="15">
        <v>1.4</v>
      </c>
      <c r="I677" s="1">
        <f t="shared" si="45"/>
        <v>0.8</v>
      </c>
      <c r="O677" s="18">
        <v>21</v>
      </c>
      <c r="Q677" s="1" t="s">
        <v>33</v>
      </c>
      <c r="R677" s="20" t="str">
        <f t="shared" si="44"/>
        <v>inclined</v>
      </c>
      <c r="S677" s="19">
        <v>0</v>
      </c>
      <c r="T677" s="19">
        <v>0</v>
      </c>
      <c r="U677" s="19">
        <v>0</v>
      </c>
      <c r="V677" s="20">
        <v>0.96647084358314816</v>
      </c>
      <c r="W677" s="20">
        <v>-0.25677637839894474</v>
      </c>
      <c r="Z677" s="15">
        <v>64</v>
      </c>
      <c r="AD677" s="1">
        <v>4.2531712700000002</v>
      </c>
      <c r="AE677" s="22" t="s">
        <v>75</v>
      </c>
      <c r="AF677" s="22"/>
    </row>
    <row r="678" spans="1:32" x14ac:dyDescent="0.2">
      <c r="A678" s="1">
        <v>860</v>
      </c>
      <c r="D678" s="1" t="s">
        <v>4</v>
      </c>
      <c r="E678" s="1" t="s">
        <v>25</v>
      </c>
      <c r="F678" s="15">
        <v>0.8</v>
      </c>
      <c r="G678" s="15">
        <v>0</v>
      </c>
      <c r="H678" s="15">
        <v>1.4</v>
      </c>
      <c r="I678" s="1">
        <f t="shared" si="45"/>
        <v>0.8</v>
      </c>
      <c r="O678" s="18">
        <v>21</v>
      </c>
      <c r="Q678" s="1" t="s">
        <v>33</v>
      </c>
      <c r="R678" s="20" t="str">
        <f t="shared" si="44"/>
        <v>inclined</v>
      </c>
      <c r="S678" s="19">
        <v>0</v>
      </c>
      <c r="T678" s="19">
        <v>0</v>
      </c>
      <c r="U678" s="19">
        <v>0</v>
      </c>
      <c r="V678" s="20">
        <v>0.70884869432271991</v>
      </c>
      <c r="W678" s="20">
        <v>-0.70536056634672684</v>
      </c>
      <c r="Z678" s="15">
        <v>64</v>
      </c>
      <c r="AD678" s="1">
        <v>3.9269864800000001</v>
      </c>
      <c r="AE678" s="22" t="s">
        <v>75</v>
      </c>
      <c r="AF678" s="22"/>
    </row>
    <row r="679" spans="1:32" x14ac:dyDescent="0.2">
      <c r="A679" s="1">
        <v>861</v>
      </c>
      <c r="D679" s="1" t="s">
        <v>4</v>
      </c>
      <c r="E679" s="1" t="s">
        <v>25</v>
      </c>
      <c r="F679" s="15">
        <v>0.8</v>
      </c>
      <c r="G679" s="15">
        <v>0</v>
      </c>
      <c r="H679" s="15">
        <v>1.4</v>
      </c>
      <c r="I679" s="1">
        <f t="shared" si="45"/>
        <v>0.8</v>
      </c>
      <c r="O679" s="18">
        <v>21</v>
      </c>
      <c r="Q679" s="1" t="s">
        <v>33</v>
      </c>
      <c r="R679" s="20" t="str">
        <f t="shared" si="44"/>
        <v>inclined</v>
      </c>
      <c r="S679" s="19">
        <v>0</v>
      </c>
      <c r="T679" s="19">
        <v>0</v>
      </c>
      <c r="U679" s="19">
        <v>0</v>
      </c>
      <c r="V679" s="20">
        <v>0.50396166388295249</v>
      </c>
      <c r="W679" s="20">
        <v>-0.86372602214841598</v>
      </c>
      <c r="Z679" s="15">
        <v>64</v>
      </c>
      <c r="AD679" s="1">
        <v>3.3477458100000002</v>
      </c>
      <c r="AE679" s="22" t="s">
        <v>75</v>
      </c>
      <c r="AF679" s="22"/>
    </row>
    <row r="680" spans="1:32" x14ac:dyDescent="0.2">
      <c r="A680" s="1">
        <v>862</v>
      </c>
      <c r="D680" s="1" t="s">
        <v>4</v>
      </c>
      <c r="E680" s="1" t="s">
        <v>25</v>
      </c>
      <c r="F680" s="15">
        <v>0.8</v>
      </c>
      <c r="G680" s="15">
        <v>0</v>
      </c>
      <c r="H680" s="15">
        <v>1.4</v>
      </c>
      <c r="I680" s="1">
        <f t="shared" si="45"/>
        <v>0.8</v>
      </c>
      <c r="O680" s="18">
        <v>21</v>
      </c>
      <c r="Q680" s="1" t="s">
        <v>33</v>
      </c>
      <c r="R680" s="20" t="str">
        <f t="shared" si="44"/>
        <v>inclined</v>
      </c>
      <c r="S680" s="19">
        <v>0</v>
      </c>
      <c r="T680" s="19">
        <v>0</v>
      </c>
      <c r="U680" s="19">
        <v>0</v>
      </c>
      <c r="V680" s="20">
        <v>0.26154079966373434</v>
      </c>
      <c r="W680" s="20">
        <v>-0.96519242128772142</v>
      </c>
      <c r="Z680" s="15">
        <v>64</v>
      </c>
      <c r="AD680" s="1">
        <v>2.6958335199999999</v>
      </c>
      <c r="AE680" s="22" t="s">
        <v>75</v>
      </c>
      <c r="AF680" s="22"/>
    </row>
    <row r="681" spans="1:32" x14ac:dyDescent="0.2">
      <c r="A681" s="1">
        <v>863</v>
      </c>
      <c r="D681" s="1" t="s">
        <v>4</v>
      </c>
      <c r="E681" s="1" t="s">
        <v>25</v>
      </c>
      <c r="F681" s="15">
        <v>0.8</v>
      </c>
      <c r="G681" s="15">
        <v>0</v>
      </c>
      <c r="H681" s="15">
        <v>1.4</v>
      </c>
      <c r="I681" s="1">
        <f t="shared" si="45"/>
        <v>0.8</v>
      </c>
      <c r="O681" s="18">
        <v>21</v>
      </c>
      <c r="Q681" s="1" t="s">
        <v>33</v>
      </c>
      <c r="R681" s="20" t="str">
        <f t="shared" si="44"/>
        <v>inclined</v>
      </c>
      <c r="S681" s="19">
        <v>0</v>
      </c>
      <c r="T681" s="19">
        <v>0</v>
      </c>
      <c r="U681" s="19">
        <v>0</v>
      </c>
      <c r="V681" s="20">
        <v>4.9329428860516332E-3</v>
      </c>
      <c r="W681" s="20">
        <v>-0.99998783296322313</v>
      </c>
      <c r="Z681" s="15">
        <v>64</v>
      </c>
      <c r="AD681" s="1">
        <v>1.8718766499999999</v>
      </c>
      <c r="AE681" s="22" t="s">
        <v>75</v>
      </c>
      <c r="AF681" s="22"/>
    </row>
    <row r="682" spans="1:32" x14ac:dyDescent="0.2">
      <c r="A682" s="1">
        <v>864</v>
      </c>
      <c r="D682" s="1" t="s">
        <v>4</v>
      </c>
      <c r="E682" s="1" t="s">
        <v>25</v>
      </c>
      <c r="F682" s="15">
        <v>0.8</v>
      </c>
      <c r="G682" s="15">
        <v>0</v>
      </c>
      <c r="H682" s="15">
        <v>1.4</v>
      </c>
      <c r="I682" s="1">
        <f t="shared" si="45"/>
        <v>0.8</v>
      </c>
      <c r="O682" s="18">
        <v>21</v>
      </c>
      <c r="Q682" s="1" t="s">
        <v>33</v>
      </c>
      <c r="R682" s="20" t="str">
        <f t="shared" si="44"/>
        <v>inclined</v>
      </c>
      <c r="S682" s="19">
        <v>0</v>
      </c>
      <c r="T682" s="19">
        <v>0</v>
      </c>
      <c r="U682" s="19">
        <v>0</v>
      </c>
      <c r="V682" s="20">
        <v>-0.25575461410008887</v>
      </c>
      <c r="W682" s="20">
        <v>-0.9667417325048685</v>
      </c>
      <c r="Z682" s="15">
        <v>64</v>
      </c>
      <c r="AD682" s="1">
        <v>2.02735916</v>
      </c>
      <c r="AE682" s="22" t="s">
        <v>75</v>
      </c>
      <c r="AF682" s="22"/>
    </row>
    <row r="683" spans="1:32" x14ac:dyDescent="0.2">
      <c r="A683" s="1">
        <v>865</v>
      </c>
      <c r="D683" s="1" t="s">
        <v>4</v>
      </c>
      <c r="E683" s="1" t="s">
        <v>25</v>
      </c>
      <c r="F683" s="15">
        <v>0.8</v>
      </c>
      <c r="G683" s="15">
        <v>0</v>
      </c>
      <c r="H683" s="15">
        <v>1.4</v>
      </c>
      <c r="I683" s="1">
        <f t="shared" si="45"/>
        <v>0.8</v>
      </c>
      <c r="O683" s="18">
        <v>21</v>
      </c>
      <c r="Q683" s="1" t="s">
        <v>33</v>
      </c>
      <c r="R683" s="20" t="str">
        <f t="shared" si="44"/>
        <v>inclined</v>
      </c>
      <c r="S683" s="19">
        <v>0</v>
      </c>
      <c r="T683" s="19">
        <v>0</v>
      </c>
      <c r="U683" s="19">
        <v>0</v>
      </c>
      <c r="V683" s="20">
        <v>-0.49877891202346497</v>
      </c>
      <c r="W683" s="20">
        <v>-0.86672925237393983</v>
      </c>
      <c r="Z683" s="15">
        <v>64</v>
      </c>
      <c r="AD683" s="1">
        <v>2.1708692300000001</v>
      </c>
      <c r="AE683" s="22" t="s">
        <v>75</v>
      </c>
      <c r="AF683" s="22"/>
    </row>
    <row r="684" spans="1:32" x14ac:dyDescent="0.2">
      <c r="A684" s="1">
        <v>866</v>
      </c>
      <c r="D684" s="1" t="s">
        <v>4</v>
      </c>
      <c r="E684" s="1" t="s">
        <v>25</v>
      </c>
      <c r="F684" s="15">
        <v>0.8</v>
      </c>
      <c r="G684" s="15">
        <v>0</v>
      </c>
      <c r="H684" s="15">
        <v>1.4</v>
      </c>
      <c r="I684" s="1">
        <f t="shared" si="45"/>
        <v>0.8</v>
      </c>
      <c r="O684" s="18">
        <v>21</v>
      </c>
      <c r="Q684" s="1" t="s">
        <v>33</v>
      </c>
      <c r="R684" s="20" t="str">
        <f t="shared" si="44"/>
        <v>inclined</v>
      </c>
      <c r="S684" s="19">
        <v>0</v>
      </c>
      <c r="T684" s="19">
        <v>0</v>
      </c>
      <c r="U684" s="19">
        <v>0</v>
      </c>
      <c r="V684" s="20">
        <v>-0.70461087434180825</v>
      </c>
      <c r="W684" s="20">
        <v>-0.70959390904888164</v>
      </c>
      <c r="Z684" s="15">
        <v>64</v>
      </c>
      <c r="AD684" s="1">
        <v>2.2209288899999997</v>
      </c>
      <c r="AE684" s="22" t="s">
        <v>75</v>
      </c>
      <c r="AF684" s="22"/>
    </row>
    <row r="685" spans="1:32" s="5" customFormat="1" ht="16" thickBot="1" x14ac:dyDescent="0.25">
      <c r="A685" s="1">
        <v>867</v>
      </c>
      <c r="B685" s="24"/>
      <c r="D685" s="5" t="s">
        <v>4</v>
      </c>
      <c r="E685" s="5" t="s">
        <v>25</v>
      </c>
      <c r="F685" s="25">
        <v>0.8</v>
      </c>
      <c r="G685" s="25">
        <v>0</v>
      </c>
      <c r="H685" s="25">
        <v>1.4</v>
      </c>
      <c r="I685" s="5">
        <f t="shared" si="45"/>
        <v>0.8</v>
      </c>
      <c r="J685" s="26"/>
      <c r="K685" s="26"/>
      <c r="L685" s="26"/>
      <c r="M685" s="27"/>
      <c r="N685" s="28"/>
      <c r="O685" s="28">
        <v>21</v>
      </c>
      <c r="P685" s="29"/>
      <c r="Q685" s="1" t="s">
        <v>33</v>
      </c>
      <c r="R685" s="20" t="str">
        <f t="shared" si="44"/>
        <v>inclined</v>
      </c>
      <c r="S685" s="30">
        <v>0</v>
      </c>
      <c r="T685" s="30">
        <v>0</v>
      </c>
      <c r="U685" s="30">
        <v>0</v>
      </c>
      <c r="V685" s="31">
        <v>-0.96491541686729698</v>
      </c>
      <c r="W685" s="31">
        <v>-0.26256092300989964</v>
      </c>
      <c r="Y685" s="28"/>
      <c r="Z685" s="25">
        <v>64</v>
      </c>
      <c r="AA685" s="26"/>
      <c r="AB685" s="26"/>
      <c r="AC685" s="26"/>
      <c r="AD685" s="5">
        <v>2.9197558299999997</v>
      </c>
      <c r="AE685" s="33" t="s">
        <v>75</v>
      </c>
      <c r="AF685" s="22"/>
    </row>
    <row r="686" spans="1:32" s="3" customFormat="1" x14ac:dyDescent="0.2">
      <c r="A686" s="1">
        <v>868</v>
      </c>
      <c r="B686" s="47"/>
      <c r="D686" s="3" t="s">
        <v>4</v>
      </c>
      <c r="E686" s="3" t="s">
        <v>71</v>
      </c>
      <c r="F686" s="34">
        <v>0.32</v>
      </c>
      <c r="G686" s="34">
        <v>0</v>
      </c>
      <c r="H686" s="34">
        <v>0.81</v>
      </c>
      <c r="I686" s="3">
        <f t="shared" si="45"/>
        <v>0.32</v>
      </c>
      <c r="J686" s="48"/>
      <c r="K686" s="48"/>
      <c r="L686" s="48"/>
      <c r="M686" s="49"/>
      <c r="N686" s="50"/>
      <c r="O686" s="50">
        <v>34.978140206812597</v>
      </c>
      <c r="P686" s="51"/>
      <c r="Q686" s="1" t="s">
        <v>33</v>
      </c>
      <c r="R686" s="20" t="s">
        <v>140</v>
      </c>
      <c r="S686" s="35">
        <v>0</v>
      </c>
      <c r="T686" s="35">
        <v>0</v>
      </c>
      <c r="U686" s="35">
        <v>0</v>
      </c>
      <c r="V686" s="36">
        <f>10^-5</f>
        <v>1.0000000000000001E-5</v>
      </c>
      <c r="W686" s="36">
        <v>0</v>
      </c>
      <c r="Y686" s="50"/>
      <c r="Z686" s="34">
        <v>101</v>
      </c>
      <c r="AA686" s="48"/>
      <c r="AB686" s="48"/>
      <c r="AC686" s="48"/>
      <c r="AD686" s="3">
        <v>3.8486541970802901</v>
      </c>
      <c r="AE686" s="37" t="s">
        <v>76</v>
      </c>
      <c r="AF686" s="22"/>
    </row>
    <row r="687" spans="1:32" x14ac:dyDescent="0.2">
      <c r="A687" s="1">
        <v>869</v>
      </c>
      <c r="D687" s="1" t="s">
        <v>4</v>
      </c>
      <c r="E687" s="1" t="s">
        <v>71</v>
      </c>
      <c r="F687" s="15">
        <v>0.32</v>
      </c>
      <c r="G687" s="15">
        <v>0</v>
      </c>
      <c r="H687" s="15">
        <v>0.81</v>
      </c>
      <c r="I687" s="1">
        <f t="shared" si="45"/>
        <v>0.32</v>
      </c>
      <c r="O687" s="18">
        <v>40.005417427007302</v>
      </c>
      <c r="Q687" s="1" t="s">
        <v>33</v>
      </c>
      <c r="R687" s="20" t="str">
        <f t="shared" si="44"/>
        <v>microgravedad</v>
      </c>
      <c r="S687" s="19">
        <v>0</v>
      </c>
      <c r="T687" s="19">
        <v>0</v>
      </c>
      <c r="U687" s="19">
        <v>0</v>
      </c>
      <c r="V687" s="20">
        <f t="shared" ref="V687:V689" si="46">10^-5</f>
        <v>1.0000000000000001E-5</v>
      </c>
      <c r="W687" s="20">
        <v>0</v>
      </c>
      <c r="Z687" s="15">
        <v>101</v>
      </c>
      <c r="AD687" s="1">
        <v>5.0205862226277302</v>
      </c>
      <c r="AE687" s="22" t="s">
        <v>76</v>
      </c>
      <c r="AF687" s="22"/>
    </row>
    <row r="688" spans="1:32" x14ac:dyDescent="0.2">
      <c r="A688" s="1">
        <v>870</v>
      </c>
      <c r="D688" s="1" t="s">
        <v>4</v>
      </c>
      <c r="E688" s="1" t="s">
        <v>71</v>
      </c>
      <c r="F688" s="15">
        <v>0.32</v>
      </c>
      <c r="G688" s="15">
        <v>0</v>
      </c>
      <c r="H688" s="15">
        <v>0.81</v>
      </c>
      <c r="I688" s="1">
        <f t="shared" si="45"/>
        <v>0.32</v>
      </c>
      <c r="O688" s="18">
        <v>44.983462591240801</v>
      </c>
      <c r="Q688" s="1" t="s">
        <v>33</v>
      </c>
      <c r="R688" s="20" t="str">
        <f t="shared" si="44"/>
        <v>microgravedad</v>
      </c>
      <c r="S688" s="19">
        <v>0</v>
      </c>
      <c r="T688" s="19">
        <v>0</v>
      </c>
      <c r="U688" s="19">
        <v>0</v>
      </c>
      <c r="V688" s="20">
        <f t="shared" si="46"/>
        <v>1.0000000000000001E-5</v>
      </c>
      <c r="W688" s="20">
        <v>0</v>
      </c>
      <c r="Z688" s="15">
        <v>101</v>
      </c>
      <c r="AD688" s="1">
        <v>5.9065921532846701</v>
      </c>
      <c r="AE688" s="22" t="s">
        <v>76</v>
      </c>
      <c r="AF688" s="22"/>
    </row>
    <row r="689" spans="1:32" x14ac:dyDescent="0.2">
      <c r="A689" s="1">
        <v>871</v>
      </c>
      <c r="D689" s="1" t="s">
        <v>4</v>
      </c>
      <c r="E689" s="1" t="s">
        <v>71</v>
      </c>
      <c r="F689" s="15">
        <v>0.32</v>
      </c>
      <c r="G689" s="15">
        <v>0</v>
      </c>
      <c r="H689" s="15">
        <v>0.81</v>
      </c>
      <c r="I689" s="1">
        <f t="shared" si="45"/>
        <v>0.32</v>
      </c>
      <c r="O689" s="18">
        <v>50.014826642335699</v>
      </c>
      <c r="Q689" s="1" t="s">
        <v>33</v>
      </c>
      <c r="R689" s="20" t="str">
        <f t="shared" si="44"/>
        <v>microgravedad</v>
      </c>
      <c r="S689" s="19">
        <v>0</v>
      </c>
      <c r="T689" s="19">
        <v>0</v>
      </c>
      <c r="U689" s="19">
        <v>0</v>
      </c>
      <c r="V689" s="20">
        <f t="shared" si="46"/>
        <v>1.0000000000000001E-5</v>
      </c>
      <c r="W689" s="20">
        <v>0</v>
      </c>
      <c r="Z689" s="15">
        <v>101</v>
      </c>
      <c r="AD689" s="1">
        <v>6.3551551094890497</v>
      </c>
      <c r="AE689" s="22" t="s">
        <v>76</v>
      </c>
      <c r="AF689" s="22"/>
    </row>
    <row r="690" spans="1:32" x14ac:dyDescent="0.2">
      <c r="A690" s="1">
        <v>872</v>
      </c>
      <c r="D690" s="1" t="s">
        <v>4</v>
      </c>
      <c r="E690" s="1" t="s">
        <v>71</v>
      </c>
      <c r="F690" s="15">
        <v>0.32</v>
      </c>
      <c r="G690" s="15">
        <v>0</v>
      </c>
      <c r="H690" s="15">
        <v>0.81</v>
      </c>
      <c r="I690" s="1">
        <f t="shared" si="45"/>
        <v>0.32</v>
      </c>
      <c r="O690" s="18">
        <v>30.002661192214099</v>
      </c>
      <c r="Q690" s="1" t="s">
        <v>33</v>
      </c>
      <c r="R690" s="20" t="s">
        <v>139</v>
      </c>
      <c r="S690" s="19">
        <v>0</v>
      </c>
      <c r="T690" s="19">
        <v>0</v>
      </c>
      <c r="U690" s="19">
        <v>0</v>
      </c>
      <c r="V690" s="20">
        <v>1</v>
      </c>
      <c r="W690" s="20">
        <v>0</v>
      </c>
      <c r="Z690" s="15">
        <v>101</v>
      </c>
      <c r="AD690" s="1">
        <v>2.5084397810218899</v>
      </c>
      <c r="AE690" s="22" t="s">
        <v>76</v>
      </c>
      <c r="AF690" s="22"/>
    </row>
    <row r="691" spans="1:32" x14ac:dyDescent="0.2">
      <c r="A691" s="1">
        <v>873</v>
      </c>
      <c r="D691" s="1" t="s">
        <v>4</v>
      </c>
      <c r="E691" s="1" t="s">
        <v>71</v>
      </c>
      <c r="F691" s="15">
        <v>0.32</v>
      </c>
      <c r="G691" s="15">
        <v>0</v>
      </c>
      <c r="H691" s="15">
        <v>0.81</v>
      </c>
      <c r="I691" s="1">
        <f t="shared" si="45"/>
        <v>0.32</v>
      </c>
      <c r="O691" s="18">
        <v>34.981181569343001</v>
      </c>
      <c r="Q691" s="1" t="s">
        <v>33</v>
      </c>
      <c r="R691" s="20" t="str">
        <f t="shared" si="44"/>
        <v>horizontal</v>
      </c>
      <c r="S691" s="19">
        <v>0</v>
      </c>
      <c r="T691" s="19">
        <v>0</v>
      </c>
      <c r="U691" s="19">
        <v>0</v>
      </c>
      <c r="V691" s="20">
        <v>1</v>
      </c>
      <c r="W691" s="20">
        <v>0</v>
      </c>
      <c r="Z691" s="15">
        <v>101</v>
      </c>
      <c r="AD691" s="1">
        <v>3.3103330291970701</v>
      </c>
      <c r="AE691" s="22" t="s">
        <v>76</v>
      </c>
      <c r="AF691" s="22"/>
    </row>
    <row r="692" spans="1:32" x14ac:dyDescent="0.2">
      <c r="A692" s="1">
        <v>874</v>
      </c>
      <c r="D692" s="1" t="s">
        <v>4</v>
      </c>
      <c r="E692" s="1" t="s">
        <v>71</v>
      </c>
      <c r="F692" s="15">
        <v>0.32</v>
      </c>
      <c r="G692" s="15">
        <v>0</v>
      </c>
      <c r="H692" s="15">
        <v>0.81</v>
      </c>
      <c r="I692" s="1">
        <f t="shared" si="45"/>
        <v>0.32</v>
      </c>
      <c r="O692" s="18">
        <v>40.010929896593602</v>
      </c>
      <c r="Q692" s="1" t="s">
        <v>33</v>
      </c>
      <c r="R692" s="20" t="str">
        <f t="shared" si="44"/>
        <v>horizontal</v>
      </c>
      <c r="S692" s="19">
        <v>0</v>
      </c>
      <c r="T692" s="19">
        <v>0</v>
      </c>
      <c r="U692" s="19">
        <v>0</v>
      </c>
      <c r="V692" s="20">
        <v>1</v>
      </c>
      <c r="W692" s="20">
        <v>0</v>
      </c>
      <c r="Z692" s="15">
        <v>101</v>
      </c>
      <c r="AD692" s="1">
        <v>4.04487910583941</v>
      </c>
      <c r="AE692" s="22" t="s">
        <v>76</v>
      </c>
      <c r="AF692" s="22"/>
    </row>
    <row r="693" spans="1:32" x14ac:dyDescent="0.2">
      <c r="A693" s="1">
        <v>875</v>
      </c>
      <c r="D693" s="1" t="s">
        <v>4</v>
      </c>
      <c r="E693" s="1" t="s">
        <v>71</v>
      </c>
      <c r="F693" s="15">
        <v>0.32</v>
      </c>
      <c r="G693" s="15">
        <v>0</v>
      </c>
      <c r="H693" s="15">
        <v>0.81</v>
      </c>
      <c r="I693" s="1">
        <f t="shared" si="45"/>
        <v>0.32</v>
      </c>
      <c r="O693" s="18">
        <v>44.990400699513302</v>
      </c>
      <c r="Q693" s="1" t="s">
        <v>33</v>
      </c>
      <c r="R693" s="20" t="str">
        <f t="shared" si="44"/>
        <v>horizontal</v>
      </c>
      <c r="S693" s="19">
        <v>0</v>
      </c>
      <c r="T693" s="19">
        <v>0</v>
      </c>
      <c r="U693" s="19">
        <v>0</v>
      </c>
      <c r="V693" s="20">
        <v>1</v>
      </c>
      <c r="W693" s="20">
        <v>0</v>
      </c>
      <c r="Z693" s="15">
        <v>101</v>
      </c>
      <c r="AD693" s="1">
        <v>4.6785469890510898</v>
      </c>
      <c r="AE693" s="22" t="s">
        <v>76</v>
      </c>
      <c r="AF693" s="22"/>
    </row>
    <row r="694" spans="1:32" s="5" customFormat="1" ht="16" thickBot="1" x14ac:dyDescent="0.25">
      <c r="A694" s="1">
        <v>876</v>
      </c>
      <c r="B694" s="24"/>
      <c r="D694" s="5" t="s">
        <v>4</v>
      </c>
      <c r="E694" s="5" t="s">
        <v>71</v>
      </c>
      <c r="F694" s="25">
        <v>0.32</v>
      </c>
      <c r="G694" s="25">
        <v>0</v>
      </c>
      <c r="H694" s="25">
        <v>0.81</v>
      </c>
      <c r="I694" s="5">
        <f t="shared" si="45"/>
        <v>0.32</v>
      </c>
      <c r="J694" s="26"/>
      <c r="K694" s="26"/>
      <c r="L694" s="26"/>
      <c r="M694" s="27"/>
      <c r="N694" s="28"/>
      <c r="O694" s="28">
        <v>50.020719282238403</v>
      </c>
      <c r="P694" s="29"/>
      <c r="Q694" s="1" t="s">
        <v>33</v>
      </c>
      <c r="R694" s="20" t="str">
        <f t="shared" si="44"/>
        <v>horizontal</v>
      </c>
      <c r="S694" s="30">
        <v>0</v>
      </c>
      <c r="T694" s="30">
        <v>0</v>
      </c>
      <c r="U694" s="30">
        <v>0</v>
      </c>
      <c r="V694" s="31">
        <v>1</v>
      </c>
      <c r="W694" s="31">
        <v>0</v>
      </c>
      <c r="Y694" s="28"/>
      <c r="Z694" s="25">
        <v>101</v>
      </c>
      <c r="AA694" s="26"/>
      <c r="AB694" s="26"/>
      <c r="AC694" s="26"/>
      <c r="AD694" s="5">
        <v>5.3121578467153201</v>
      </c>
      <c r="AE694" s="33" t="s">
        <v>76</v>
      </c>
      <c r="AF694" s="22"/>
    </row>
    <row r="695" spans="1:32" s="3" customFormat="1" x14ac:dyDescent="0.2">
      <c r="A695" s="1">
        <v>877</v>
      </c>
      <c r="B695" s="47"/>
      <c r="D695" s="3" t="s">
        <v>4</v>
      </c>
      <c r="E695" s="3" t="s">
        <v>25</v>
      </c>
      <c r="F695" s="34">
        <v>5.5</v>
      </c>
      <c r="G695" s="34">
        <v>0</v>
      </c>
      <c r="H695" s="34">
        <v>9</v>
      </c>
      <c r="I695" s="3">
        <f t="shared" si="45"/>
        <v>5.5</v>
      </c>
      <c r="J695" s="48"/>
      <c r="K695" s="48"/>
      <c r="L695" s="48"/>
      <c r="M695" s="49"/>
      <c r="N695" s="50"/>
      <c r="O695" s="50">
        <v>21</v>
      </c>
      <c r="P695" s="51"/>
      <c r="Q695" s="1" t="s">
        <v>1</v>
      </c>
      <c r="R695" s="20" t="str">
        <f t="shared" si="44"/>
        <v>horizontal</v>
      </c>
      <c r="S695" s="35">
        <v>-1.8148161199999999E-3</v>
      </c>
      <c r="T695" s="35">
        <v>0</v>
      </c>
      <c r="U695" s="35">
        <v>0</v>
      </c>
      <c r="V695" s="36">
        <v>0</v>
      </c>
      <c r="W695" s="36">
        <v>-1</v>
      </c>
      <c r="Y695" s="50"/>
      <c r="Z695" s="34">
        <v>101</v>
      </c>
      <c r="AA695" s="48"/>
      <c r="AB695" s="48"/>
      <c r="AC695" s="48"/>
      <c r="AD695" s="3">
        <v>0.61880839000116505</v>
      </c>
      <c r="AE695" s="37" t="s">
        <v>77</v>
      </c>
      <c r="AF695" s="22"/>
    </row>
    <row r="696" spans="1:32" x14ac:dyDescent="0.2">
      <c r="A696" s="1">
        <v>878</v>
      </c>
      <c r="D696" s="1" t="s">
        <v>4</v>
      </c>
      <c r="E696" s="1" t="s">
        <v>25</v>
      </c>
      <c r="F696" s="15">
        <v>5.5</v>
      </c>
      <c r="G696" s="15">
        <v>0</v>
      </c>
      <c r="H696" s="15">
        <v>9</v>
      </c>
      <c r="I696" s="1">
        <f t="shared" si="45"/>
        <v>5.5</v>
      </c>
      <c r="O696" s="18">
        <v>21</v>
      </c>
      <c r="Q696" s="1" t="s">
        <v>1</v>
      </c>
      <c r="R696" s="20" t="str">
        <f t="shared" si="44"/>
        <v>horizontal</v>
      </c>
      <c r="S696" s="19">
        <v>-0.14411688979999998</v>
      </c>
      <c r="T696" s="19">
        <v>0</v>
      </c>
      <c r="U696" s="19">
        <v>0</v>
      </c>
      <c r="V696" s="20">
        <v>0</v>
      </c>
      <c r="W696" s="20">
        <v>-1</v>
      </c>
      <c r="Z696" s="15">
        <v>101</v>
      </c>
      <c r="AD696" s="1">
        <v>0.54381550453568495</v>
      </c>
      <c r="AE696" s="22" t="s">
        <v>77</v>
      </c>
      <c r="AF696" s="22"/>
    </row>
    <row r="697" spans="1:32" x14ac:dyDescent="0.2">
      <c r="A697" s="1">
        <v>879</v>
      </c>
      <c r="D697" s="1" t="s">
        <v>4</v>
      </c>
      <c r="E697" s="1" t="s">
        <v>25</v>
      </c>
      <c r="F697" s="15">
        <v>5.5</v>
      </c>
      <c r="G697" s="15">
        <v>0</v>
      </c>
      <c r="H697" s="15">
        <v>9</v>
      </c>
      <c r="I697" s="1">
        <f t="shared" si="45"/>
        <v>5.5</v>
      </c>
      <c r="O697" s="18">
        <v>21</v>
      </c>
      <c r="Q697" s="1" t="s">
        <v>1</v>
      </c>
      <c r="R697" s="20" t="str">
        <f t="shared" si="44"/>
        <v>horizontal</v>
      </c>
      <c r="S697" s="19">
        <v>-0.23910202380000001</v>
      </c>
      <c r="T697" s="19">
        <v>0</v>
      </c>
      <c r="U697" s="19">
        <v>0</v>
      </c>
      <c r="V697" s="20">
        <v>0</v>
      </c>
      <c r="W697" s="20">
        <v>-1</v>
      </c>
      <c r="Z697" s="15">
        <v>101</v>
      </c>
      <c r="AD697" s="1">
        <v>0.53374620219371505</v>
      </c>
      <c r="AE697" s="22" t="s">
        <v>77</v>
      </c>
      <c r="AF697" s="22"/>
    </row>
    <row r="698" spans="1:32" x14ac:dyDescent="0.2">
      <c r="A698" s="1">
        <v>880</v>
      </c>
      <c r="D698" s="1" t="s">
        <v>4</v>
      </c>
      <c r="E698" s="1" t="s">
        <v>25</v>
      </c>
      <c r="F698" s="15">
        <v>5.5</v>
      </c>
      <c r="G698" s="15">
        <v>0</v>
      </c>
      <c r="H698" s="15">
        <v>9</v>
      </c>
      <c r="I698" s="1">
        <f t="shared" si="45"/>
        <v>5.5</v>
      </c>
      <c r="O698" s="18">
        <v>21</v>
      </c>
      <c r="Q698" s="1" t="s">
        <v>1</v>
      </c>
      <c r="R698" s="20" t="str">
        <f t="shared" si="44"/>
        <v>horizontal</v>
      </c>
      <c r="S698" s="19">
        <v>-0.3207638706</v>
      </c>
      <c r="T698" s="19">
        <v>0</v>
      </c>
      <c r="U698" s="19">
        <v>0</v>
      </c>
      <c r="V698" s="20">
        <v>0</v>
      </c>
      <c r="W698" s="20">
        <v>-1</v>
      </c>
      <c r="Z698" s="15">
        <v>101</v>
      </c>
      <c r="AD698" s="1">
        <v>0.48043597867536803</v>
      </c>
      <c r="AE698" s="22" t="s">
        <v>77</v>
      </c>
      <c r="AF698" s="22"/>
    </row>
    <row r="699" spans="1:32" x14ac:dyDescent="0.2">
      <c r="A699" s="1">
        <v>881</v>
      </c>
      <c r="D699" s="1" t="s">
        <v>4</v>
      </c>
      <c r="E699" s="1" t="s">
        <v>25</v>
      </c>
      <c r="F699" s="15">
        <v>5.5</v>
      </c>
      <c r="G699" s="15">
        <v>0</v>
      </c>
      <c r="H699" s="15">
        <v>9</v>
      </c>
      <c r="I699" s="1">
        <f t="shared" si="45"/>
        <v>5.5</v>
      </c>
      <c r="O699" s="18">
        <v>21</v>
      </c>
      <c r="Q699" s="1" t="s">
        <v>1</v>
      </c>
      <c r="R699" s="20" t="str">
        <f t="shared" si="44"/>
        <v>horizontal</v>
      </c>
      <c r="S699" s="19">
        <v>-0.42099343290000002</v>
      </c>
      <c r="T699" s="19">
        <v>0</v>
      </c>
      <c r="U699" s="19">
        <v>0</v>
      </c>
      <c r="V699" s="20">
        <v>0</v>
      </c>
      <c r="W699" s="20">
        <v>-1</v>
      </c>
      <c r="Z699" s="15">
        <v>101</v>
      </c>
      <c r="AD699" s="1">
        <v>0.45871672769356198</v>
      </c>
      <c r="AE699" s="22" t="s">
        <v>77</v>
      </c>
      <c r="AF699" s="22"/>
    </row>
    <row r="700" spans="1:32" x14ac:dyDescent="0.2">
      <c r="A700" s="1">
        <v>882</v>
      </c>
      <c r="D700" s="1" t="s">
        <v>4</v>
      </c>
      <c r="E700" s="1" t="s">
        <v>25</v>
      </c>
      <c r="F700" s="15">
        <v>5.5</v>
      </c>
      <c r="G700" s="15">
        <v>0</v>
      </c>
      <c r="H700" s="15">
        <v>9</v>
      </c>
      <c r="I700" s="1">
        <f t="shared" si="45"/>
        <v>5.5</v>
      </c>
      <c r="O700" s="18">
        <v>21</v>
      </c>
      <c r="Q700" s="1" t="s">
        <v>1</v>
      </c>
      <c r="R700" s="20" t="str">
        <f t="shared" si="44"/>
        <v>horizontal</v>
      </c>
      <c r="S700" s="19">
        <v>-0.54241536410000002</v>
      </c>
      <c r="T700" s="19">
        <v>0</v>
      </c>
      <c r="U700" s="19">
        <v>0</v>
      </c>
      <c r="V700" s="20">
        <v>0</v>
      </c>
      <c r="W700" s="20">
        <v>-1</v>
      </c>
      <c r="Z700" s="15">
        <v>101</v>
      </c>
      <c r="AD700" s="1">
        <v>0.46359526564994302</v>
      </c>
      <c r="AE700" s="22" t="s">
        <v>77</v>
      </c>
      <c r="AF700" s="22"/>
    </row>
    <row r="701" spans="1:32" x14ac:dyDescent="0.2">
      <c r="A701" s="1">
        <v>883</v>
      </c>
      <c r="D701" s="1" t="s">
        <v>4</v>
      </c>
      <c r="E701" s="1" t="s">
        <v>25</v>
      </c>
      <c r="F701" s="15">
        <v>5.5</v>
      </c>
      <c r="G701" s="15">
        <v>0</v>
      </c>
      <c r="H701" s="15">
        <v>9</v>
      </c>
      <c r="I701" s="1">
        <f t="shared" si="45"/>
        <v>5.5</v>
      </c>
      <c r="O701" s="18">
        <v>21</v>
      </c>
      <c r="Q701" s="1" t="s">
        <v>1</v>
      </c>
      <c r="R701" s="20" t="str">
        <f t="shared" si="44"/>
        <v>horizontal</v>
      </c>
      <c r="S701" s="19">
        <v>-0.66118337069999999</v>
      </c>
      <c r="T701" s="19">
        <v>0</v>
      </c>
      <c r="U701" s="19">
        <v>0</v>
      </c>
      <c r="V701" s="20">
        <v>0</v>
      </c>
      <c r="W701" s="20">
        <v>-1</v>
      </c>
      <c r="Z701" s="15">
        <v>101</v>
      </c>
      <c r="AD701" s="1">
        <v>0.46348549854592402</v>
      </c>
      <c r="AE701" s="22" t="s">
        <v>77</v>
      </c>
      <c r="AF701" s="22"/>
    </row>
    <row r="702" spans="1:32" x14ac:dyDescent="0.2">
      <c r="A702" s="1">
        <v>884</v>
      </c>
      <c r="D702" s="1" t="s">
        <v>4</v>
      </c>
      <c r="E702" s="1" t="s">
        <v>25</v>
      </c>
      <c r="F702" s="15">
        <v>5.5</v>
      </c>
      <c r="G702" s="15">
        <v>0</v>
      </c>
      <c r="H702" s="15">
        <v>9</v>
      </c>
      <c r="I702" s="1">
        <f t="shared" si="45"/>
        <v>5.5</v>
      </c>
      <c r="O702" s="18">
        <v>21</v>
      </c>
      <c r="Q702" s="1" t="s">
        <v>1</v>
      </c>
      <c r="R702" s="20" t="str">
        <f t="shared" si="44"/>
        <v>horizontal</v>
      </c>
      <c r="S702" s="19">
        <v>-0.76148123249999999</v>
      </c>
      <c r="T702" s="19">
        <v>0</v>
      </c>
      <c r="U702" s="19">
        <v>0</v>
      </c>
      <c r="V702" s="20">
        <v>0</v>
      </c>
      <c r="W702" s="20">
        <v>-1</v>
      </c>
      <c r="Z702" s="15">
        <v>101</v>
      </c>
      <c r="AD702" s="1">
        <v>0.465056387767879</v>
      </c>
      <c r="AE702" s="22" t="s">
        <v>77</v>
      </c>
      <c r="AF702" s="22"/>
    </row>
    <row r="703" spans="1:32" x14ac:dyDescent="0.2">
      <c r="A703" s="1">
        <v>885</v>
      </c>
      <c r="D703" s="1" t="s">
        <v>4</v>
      </c>
      <c r="E703" s="1" t="s">
        <v>25</v>
      </c>
      <c r="F703" s="15">
        <v>5.5</v>
      </c>
      <c r="G703" s="15">
        <v>0</v>
      </c>
      <c r="H703" s="15">
        <v>9</v>
      </c>
      <c r="I703" s="1">
        <f t="shared" si="45"/>
        <v>5.5</v>
      </c>
      <c r="O703" s="18">
        <v>21</v>
      </c>
      <c r="Q703" s="1" t="s">
        <v>1</v>
      </c>
      <c r="R703" s="20" t="str">
        <f t="shared" si="44"/>
        <v>horizontal</v>
      </c>
      <c r="S703" s="19">
        <v>-0.99898309590000001</v>
      </c>
      <c r="T703" s="19">
        <v>0</v>
      </c>
      <c r="U703" s="19">
        <v>0</v>
      </c>
      <c r="V703" s="20">
        <v>0</v>
      </c>
      <c r="W703" s="20">
        <v>-1</v>
      </c>
      <c r="Z703" s="15">
        <v>101</v>
      </c>
      <c r="AD703" s="1">
        <v>0.45319178345796102</v>
      </c>
      <c r="AE703" s="22" t="s">
        <v>77</v>
      </c>
      <c r="AF703" s="22"/>
    </row>
    <row r="704" spans="1:32" x14ac:dyDescent="0.2">
      <c r="A704" s="1">
        <v>886</v>
      </c>
      <c r="D704" s="1" t="s">
        <v>4</v>
      </c>
      <c r="E704" s="1" t="s">
        <v>25</v>
      </c>
      <c r="F704" s="15">
        <v>5.5</v>
      </c>
      <c r="G704" s="15">
        <v>0</v>
      </c>
      <c r="H704" s="15">
        <v>9</v>
      </c>
      <c r="I704" s="1">
        <f t="shared" si="45"/>
        <v>5.5</v>
      </c>
      <c r="O704" s="18">
        <v>21</v>
      </c>
      <c r="Q704" s="1" t="s">
        <v>1</v>
      </c>
      <c r="R704" s="20" t="str">
        <f t="shared" si="44"/>
        <v>horizontal</v>
      </c>
      <c r="S704" s="19">
        <v>-1.2495691979999999</v>
      </c>
      <c r="T704" s="19">
        <v>0</v>
      </c>
      <c r="U704" s="19">
        <v>0</v>
      </c>
      <c r="V704" s="20">
        <v>0</v>
      </c>
      <c r="W704" s="20">
        <v>-1</v>
      </c>
      <c r="Z704" s="15">
        <v>101</v>
      </c>
      <c r="AD704" s="1">
        <v>0.40305260961126099</v>
      </c>
      <c r="AE704" s="22" t="s">
        <v>77</v>
      </c>
      <c r="AF704" s="22"/>
    </row>
    <row r="705" spans="1:32" x14ac:dyDescent="0.2">
      <c r="A705" s="1">
        <v>887</v>
      </c>
      <c r="D705" s="1" t="s">
        <v>4</v>
      </c>
      <c r="E705" s="1" t="s">
        <v>25</v>
      </c>
      <c r="F705" s="15">
        <v>5.5</v>
      </c>
      <c r="G705" s="15">
        <v>0</v>
      </c>
      <c r="H705" s="15">
        <v>9</v>
      </c>
      <c r="I705" s="1">
        <f t="shared" si="45"/>
        <v>5.5</v>
      </c>
      <c r="O705" s="18">
        <v>21</v>
      </c>
      <c r="Q705" s="1" t="s">
        <v>1</v>
      </c>
      <c r="R705" s="20" t="str">
        <f t="shared" si="44"/>
        <v>horizontal</v>
      </c>
      <c r="S705" s="19">
        <v>-1.489715229</v>
      </c>
      <c r="T705" s="19">
        <v>0</v>
      </c>
      <c r="U705" s="19">
        <v>0</v>
      </c>
      <c r="V705" s="20">
        <v>0</v>
      </c>
      <c r="W705" s="20">
        <v>-1</v>
      </c>
      <c r="Z705" s="15">
        <v>101</v>
      </c>
      <c r="AD705" s="1">
        <v>0.39284914747549199</v>
      </c>
      <c r="AE705" s="22" t="s">
        <v>77</v>
      </c>
      <c r="AF705" s="22"/>
    </row>
    <row r="706" spans="1:32" x14ac:dyDescent="0.2">
      <c r="A706" s="1">
        <v>888</v>
      </c>
      <c r="D706" s="1" t="s">
        <v>4</v>
      </c>
      <c r="E706" s="1" t="s">
        <v>25</v>
      </c>
      <c r="F706" s="15">
        <v>5.5</v>
      </c>
      <c r="G706" s="15">
        <v>0</v>
      </c>
      <c r="H706" s="15">
        <v>9</v>
      </c>
      <c r="I706" s="1">
        <f t="shared" si="45"/>
        <v>5.5</v>
      </c>
      <c r="O706" s="18">
        <v>21</v>
      </c>
      <c r="Q706" s="1" t="s">
        <v>1</v>
      </c>
      <c r="R706" s="20" t="str">
        <f t="shared" si="44"/>
        <v>horizontal</v>
      </c>
      <c r="S706" s="19">
        <v>-1.600316563</v>
      </c>
      <c r="T706" s="19">
        <v>0</v>
      </c>
      <c r="U706" s="19">
        <v>0</v>
      </c>
      <c r="V706" s="20">
        <v>0</v>
      </c>
      <c r="W706" s="20">
        <v>-1</v>
      </c>
      <c r="Z706" s="15">
        <v>101</v>
      </c>
      <c r="AD706" s="1">
        <v>0.30790404457899501</v>
      </c>
      <c r="AE706" s="22" t="s">
        <v>77</v>
      </c>
      <c r="AF706" s="22"/>
    </row>
    <row r="707" spans="1:32" x14ac:dyDescent="0.2">
      <c r="A707" s="1">
        <v>889</v>
      </c>
      <c r="D707" s="1" t="s">
        <v>4</v>
      </c>
      <c r="E707" s="1" t="s">
        <v>25</v>
      </c>
      <c r="F707" s="15">
        <v>3.5</v>
      </c>
      <c r="G707" s="15">
        <v>0</v>
      </c>
      <c r="H707" s="15">
        <v>8</v>
      </c>
      <c r="I707" s="1">
        <f t="shared" si="45"/>
        <v>3.5</v>
      </c>
      <c r="O707" s="18">
        <v>21</v>
      </c>
      <c r="Q707" s="1" t="s">
        <v>1</v>
      </c>
      <c r="R707" s="20" t="str">
        <f t="shared" si="44"/>
        <v>horizontal</v>
      </c>
      <c r="S707" s="19">
        <v>-4.1662714100000001E-3</v>
      </c>
      <c r="T707" s="19">
        <v>0</v>
      </c>
      <c r="U707" s="19">
        <v>0</v>
      </c>
      <c r="V707" s="20">
        <v>0</v>
      </c>
      <c r="W707" s="20">
        <v>-1</v>
      </c>
      <c r="Z707" s="15">
        <v>101</v>
      </c>
      <c r="AD707" s="1">
        <v>0.52065464558776897</v>
      </c>
      <c r="AE707" s="22" t="s">
        <v>77</v>
      </c>
      <c r="AF707" s="22"/>
    </row>
    <row r="708" spans="1:32" x14ac:dyDescent="0.2">
      <c r="A708" s="1">
        <v>890</v>
      </c>
      <c r="D708" s="1" t="s">
        <v>4</v>
      </c>
      <c r="E708" s="1" t="s">
        <v>25</v>
      </c>
      <c r="F708" s="15">
        <v>3.5</v>
      </c>
      <c r="G708" s="15">
        <v>0</v>
      </c>
      <c r="H708" s="15">
        <v>8</v>
      </c>
      <c r="I708" s="1">
        <f t="shared" si="45"/>
        <v>3.5</v>
      </c>
      <c r="O708" s="18">
        <v>21</v>
      </c>
      <c r="Q708" s="1" t="s">
        <v>1</v>
      </c>
      <c r="R708" s="20" t="str">
        <f t="shared" ref="R708:R771" si="47">R707</f>
        <v>horizontal</v>
      </c>
      <c r="S708" s="19">
        <v>-0.1412092811</v>
      </c>
      <c r="T708" s="19">
        <v>0</v>
      </c>
      <c r="U708" s="19">
        <v>0</v>
      </c>
      <c r="V708" s="20">
        <v>0</v>
      </c>
      <c r="W708" s="20">
        <v>-1</v>
      </c>
      <c r="Z708" s="15">
        <v>101</v>
      </c>
      <c r="AD708" s="1">
        <v>0.452320964432748</v>
      </c>
      <c r="AE708" s="22" t="s">
        <v>77</v>
      </c>
      <c r="AF708" s="22"/>
    </row>
    <row r="709" spans="1:32" x14ac:dyDescent="0.2">
      <c r="A709" s="1">
        <v>891</v>
      </c>
      <c r="D709" s="1" t="s">
        <v>4</v>
      </c>
      <c r="E709" s="1" t="s">
        <v>25</v>
      </c>
      <c r="F709" s="15">
        <v>3.5</v>
      </c>
      <c r="G709" s="15">
        <v>0</v>
      </c>
      <c r="H709" s="15">
        <v>8</v>
      </c>
      <c r="I709" s="1">
        <f t="shared" si="45"/>
        <v>3.5</v>
      </c>
      <c r="O709" s="18">
        <v>21</v>
      </c>
      <c r="Q709" s="1" t="s">
        <v>1</v>
      </c>
      <c r="R709" s="20" t="str">
        <f t="shared" si="47"/>
        <v>horizontal</v>
      </c>
      <c r="S709" s="19">
        <v>-0.24142420779999998</v>
      </c>
      <c r="T709" s="19">
        <v>0</v>
      </c>
      <c r="U709" s="19">
        <v>0</v>
      </c>
      <c r="V709" s="20">
        <v>0</v>
      </c>
      <c r="W709" s="20">
        <v>-1</v>
      </c>
      <c r="Z709" s="15">
        <v>101</v>
      </c>
      <c r="AD709" s="1">
        <v>0.42561096912156499</v>
      </c>
      <c r="AE709" s="22" t="s">
        <v>77</v>
      </c>
      <c r="AF709" s="22"/>
    </row>
    <row r="710" spans="1:32" x14ac:dyDescent="0.2">
      <c r="A710" s="1">
        <v>892</v>
      </c>
      <c r="D710" s="1" t="s">
        <v>4</v>
      </c>
      <c r="E710" s="1" t="s">
        <v>25</v>
      </c>
      <c r="F710" s="15">
        <v>3.5</v>
      </c>
      <c r="G710" s="15">
        <v>0</v>
      </c>
      <c r="H710" s="15">
        <v>8</v>
      </c>
      <c r="I710" s="1">
        <f t="shared" si="45"/>
        <v>3.5</v>
      </c>
      <c r="O710" s="18">
        <v>21</v>
      </c>
      <c r="Q710" s="1" t="s">
        <v>1</v>
      </c>
      <c r="R710" s="20" t="str">
        <f t="shared" si="47"/>
        <v>horizontal</v>
      </c>
      <c r="S710" s="19">
        <v>-0.320549215</v>
      </c>
      <c r="T710" s="19">
        <v>0</v>
      </c>
      <c r="U710" s="19">
        <v>0</v>
      </c>
      <c r="V710" s="20">
        <v>0</v>
      </c>
      <c r="W710" s="20">
        <v>-1</v>
      </c>
      <c r="Z710" s="15">
        <v>101</v>
      </c>
      <c r="AD710" s="1">
        <v>0.407238395177836</v>
      </c>
      <c r="AE710" s="22" t="s">
        <v>77</v>
      </c>
      <c r="AF710" s="22"/>
    </row>
    <row r="711" spans="1:32" x14ac:dyDescent="0.2">
      <c r="A711" s="1">
        <v>893</v>
      </c>
      <c r="D711" s="1" t="s">
        <v>4</v>
      </c>
      <c r="E711" s="1" t="s">
        <v>25</v>
      </c>
      <c r="F711" s="15">
        <v>3.5</v>
      </c>
      <c r="G711" s="15">
        <v>0</v>
      </c>
      <c r="H711" s="15">
        <v>8</v>
      </c>
      <c r="I711" s="1">
        <f t="shared" si="45"/>
        <v>3.5</v>
      </c>
      <c r="O711" s="18">
        <v>21</v>
      </c>
      <c r="Q711" s="1" t="s">
        <v>1</v>
      </c>
      <c r="R711" s="20" t="str">
        <f t="shared" si="47"/>
        <v>horizontal</v>
      </c>
      <c r="S711" s="19">
        <v>-0.42074462750000002</v>
      </c>
      <c r="T711" s="19">
        <v>0</v>
      </c>
      <c r="U711" s="19">
        <v>0</v>
      </c>
      <c r="V711" s="20">
        <v>0</v>
      </c>
      <c r="W711" s="20">
        <v>-1</v>
      </c>
      <c r="Z711" s="15">
        <v>101</v>
      </c>
      <c r="AD711" s="1">
        <v>0.37387407409415002</v>
      </c>
      <c r="AE711" s="22" t="s">
        <v>77</v>
      </c>
      <c r="AF711" s="22"/>
    </row>
    <row r="712" spans="1:32" x14ac:dyDescent="0.2">
      <c r="A712" s="1">
        <v>894</v>
      </c>
      <c r="D712" s="1" t="s">
        <v>4</v>
      </c>
      <c r="E712" s="1" t="s">
        <v>25</v>
      </c>
      <c r="F712" s="15">
        <v>3.5</v>
      </c>
      <c r="G712" s="15">
        <v>0</v>
      </c>
      <c r="H712" s="15">
        <v>8</v>
      </c>
      <c r="I712" s="1">
        <f t="shared" ref="I712:I775" si="48">F712</f>
        <v>3.5</v>
      </c>
      <c r="O712" s="18">
        <v>21</v>
      </c>
      <c r="Q712" s="1" t="s">
        <v>1</v>
      </c>
      <c r="R712" s="20" t="str">
        <f t="shared" si="47"/>
        <v>horizontal</v>
      </c>
      <c r="S712" s="19">
        <v>-0.54213240890000003</v>
      </c>
      <c r="T712" s="19">
        <v>0</v>
      </c>
      <c r="U712" s="19">
        <v>0</v>
      </c>
      <c r="V712" s="20">
        <v>0</v>
      </c>
      <c r="W712" s="20">
        <v>-1</v>
      </c>
      <c r="Z712" s="15">
        <v>101</v>
      </c>
      <c r="AD712" s="1">
        <v>0.36710754194864997</v>
      </c>
      <c r="AE712" s="22" t="s">
        <v>77</v>
      </c>
      <c r="AF712" s="22"/>
    </row>
    <row r="713" spans="1:32" x14ac:dyDescent="0.2">
      <c r="A713" s="1">
        <v>895</v>
      </c>
      <c r="D713" s="1" t="s">
        <v>4</v>
      </c>
      <c r="E713" s="1" t="s">
        <v>25</v>
      </c>
      <c r="F713" s="15">
        <v>3.5</v>
      </c>
      <c r="G713" s="15">
        <v>0</v>
      </c>
      <c r="H713" s="15">
        <v>8</v>
      </c>
      <c r="I713" s="1">
        <f t="shared" si="48"/>
        <v>3.5</v>
      </c>
      <c r="O713" s="18">
        <v>21</v>
      </c>
      <c r="Q713" s="1" t="s">
        <v>1</v>
      </c>
      <c r="R713" s="20" t="str">
        <f t="shared" si="47"/>
        <v>horizontal</v>
      </c>
      <c r="S713" s="19">
        <v>-0.66104189309999994</v>
      </c>
      <c r="T713" s="19">
        <v>0</v>
      </c>
      <c r="U713" s="19">
        <v>0</v>
      </c>
      <c r="V713" s="20">
        <v>0</v>
      </c>
      <c r="W713" s="20">
        <v>-1</v>
      </c>
      <c r="Z713" s="15">
        <v>101</v>
      </c>
      <c r="AD713" s="1">
        <v>0.41524163669527803</v>
      </c>
      <c r="AE713" s="22" t="s">
        <v>77</v>
      </c>
      <c r="AF713" s="22"/>
    </row>
    <row r="714" spans="1:32" x14ac:dyDescent="0.2">
      <c r="A714" s="1">
        <v>896</v>
      </c>
      <c r="D714" s="1" t="s">
        <v>4</v>
      </c>
      <c r="E714" s="1" t="s">
        <v>25</v>
      </c>
      <c r="F714" s="15">
        <v>3.5</v>
      </c>
      <c r="G714" s="15">
        <v>0</v>
      </c>
      <c r="H714" s="15">
        <v>8</v>
      </c>
      <c r="I714" s="1">
        <f t="shared" si="48"/>
        <v>3.5</v>
      </c>
      <c r="O714" s="18">
        <v>21</v>
      </c>
      <c r="Q714" s="1" t="s">
        <v>1</v>
      </c>
      <c r="R714" s="20" t="str">
        <f t="shared" si="47"/>
        <v>horizontal</v>
      </c>
      <c r="S714" s="19">
        <v>-0.76130072659999992</v>
      </c>
      <c r="T714" s="19">
        <v>0</v>
      </c>
      <c r="U714" s="19">
        <v>0</v>
      </c>
      <c r="V714" s="20">
        <v>0</v>
      </c>
      <c r="W714" s="20">
        <v>-1</v>
      </c>
      <c r="Z714" s="15">
        <v>101</v>
      </c>
      <c r="AD714" s="1">
        <v>0.40350387437222701</v>
      </c>
      <c r="AE714" s="22" t="s">
        <v>77</v>
      </c>
      <c r="AF714" s="22"/>
    </row>
    <row r="715" spans="1:32" x14ac:dyDescent="0.2">
      <c r="A715" s="1">
        <v>897</v>
      </c>
      <c r="D715" s="1" t="s">
        <v>4</v>
      </c>
      <c r="E715" s="1" t="s">
        <v>25</v>
      </c>
      <c r="F715" s="15">
        <v>3.5</v>
      </c>
      <c r="G715" s="15">
        <v>0</v>
      </c>
      <c r="H715" s="15">
        <v>8</v>
      </c>
      <c r="I715" s="1">
        <f t="shared" si="48"/>
        <v>3.5</v>
      </c>
      <c r="O715" s="18">
        <v>21</v>
      </c>
      <c r="Q715" s="1" t="s">
        <v>1</v>
      </c>
      <c r="R715" s="20" t="str">
        <f t="shared" si="47"/>
        <v>horizontal</v>
      </c>
      <c r="S715" s="19">
        <v>-1.0015101790000001</v>
      </c>
      <c r="T715" s="19">
        <v>0</v>
      </c>
      <c r="U715" s="19">
        <v>0</v>
      </c>
      <c r="V715" s="20">
        <v>0</v>
      </c>
      <c r="W715" s="20">
        <v>-1</v>
      </c>
      <c r="Z715" s="15">
        <v>101</v>
      </c>
      <c r="AD715" s="1">
        <v>0.41492697099709103</v>
      </c>
      <c r="AE715" s="22" t="s">
        <v>77</v>
      </c>
      <c r="AF715" s="22"/>
    </row>
    <row r="716" spans="1:32" x14ac:dyDescent="0.2">
      <c r="A716" s="1">
        <v>898</v>
      </c>
      <c r="D716" s="1" t="s">
        <v>4</v>
      </c>
      <c r="E716" s="1" t="s">
        <v>25</v>
      </c>
      <c r="F716" s="15">
        <v>3.5</v>
      </c>
      <c r="G716" s="15">
        <v>0</v>
      </c>
      <c r="H716" s="15">
        <v>8</v>
      </c>
      <c r="I716" s="1">
        <f t="shared" si="48"/>
        <v>3.5</v>
      </c>
      <c r="O716" s="18">
        <v>21</v>
      </c>
      <c r="Q716" s="1" t="s">
        <v>1</v>
      </c>
      <c r="R716" s="20" t="str">
        <f t="shared" si="47"/>
        <v>horizontal</v>
      </c>
      <c r="S716" s="19">
        <v>-1.2519987100000001</v>
      </c>
      <c r="T716" s="19">
        <v>0</v>
      </c>
      <c r="U716" s="19">
        <v>0</v>
      </c>
      <c r="V716" s="20">
        <v>0</v>
      </c>
      <c r="W716" s="20">
        <v>-1</v>
      </c>
      <c r="Z716" s="15">
        <v>101</v>
      </c>
      <c r="AD716" s="1">
        <v>0.331516168287877</v>
      </c>
      <c r="AE716" s="22" t="s">
        <v>77</v>
      </c>
      <c r="AF716" s="22"/>
    </row>
    <row r="717" spans="1:32" x14ac:dyDescent="0.2">
      <c r="A717" s="1">
        <v>899</v>
      </c>
      <c r="D717" s="1" t="s">
        <v>4</v>
      </c>
      <c r="E717" s="1" t="s">
        <v>25</v>
      </c>
      <c r="F717" s="15">
        <v>3.5</v>
      </c>
      <c r="G717" s="15">
        <v>0</v>
      </c>
      <c r="H717" s="15">
        <v>8</v>
      </c>
      <c r="I717" s="1">
        <f t="shared" si="48"/>
        <v>3.5</v>
      </c>
      <c r="O717" s="18">
        <v>21</v>
      </c>
      <c r="Q717" s="1" t="s">
        <v>1</v>
      </c>
      <c r="R717" s="20" t="str">
        <f t="shared" si="47"/>
        <v>horizontal</v>
      </c>
      <c r="S717" s="19">
        <v>-1.4917056719999999</v>
      </c>
      <c r="T717" s="19">
        <v>0</v>
      </c>
      <c r="U717" s="19">
        <v>0</v>
      </c>
      <c r="V717" s="20">
        <v>0</v>
      </c>
      <c r="W717" s="20">
        <v>-1</v>
      </c>
      <c r="Z717" s="15">
        <v>101</v>
      </c>
      <c r="AD717" s="1">
        <v>0.17159037627079099</v>
      </c>
      <c r="AE717" s="22" t="s">
        <v>77</v>
      </c>
      <c r="AF717" s="22"/>
    </row>
    <row r="718" spans="1:32" x14ac:dyDescent="0.2">
      <c r="A718" s="1">
        <v>900</v>
      </c>
      <c r="D718" s="1" t="s">
        <v>5</v>
      </c>
      <c r="E718" s="1" t="s">
        <v>25</v>
      </c>
      <c r="F718" s="15">
        <v>5.5</v>
      </c>
      <c r="G718" s="15">
        <v>5</v>
      </c>
      <c r="H718" s="15">
        <v>9</v>
      </c>
      <c r="I718" s="1">
        <f t="shared" si="48"/>
        <v>5.5</v>
      </c>
      <c r="O718" s="18">
        <v>21</v>
      </c>
      <c r="Q718" s="1" t="s">
        <v>1</v>
      </c>
      <c r="R718" s="20" t="str">
        <f t="shared" si="47"/>
        <v>horizontal</v>
      </c>
      <c r="S718" s="19">
        <v>-1.4294116200000001E-3</v>
      </c>
      <c r="T718" s="19">
        <v>0</v>
      </c>
      <c r="U718" s="19">
        <v>0</v>
      </c>
      <c r="V718" s="20">
        <v>0</v>
      </c>
      <c r="W718" s="20">
        <v>-1</v>
      </c>
      <c r="Z718" s="15">
        <v>101</v>
      </c>
      <c r="AD718" s="1">
        <v>0.487385455994232</v>
      </c>
      <c r="AE718" s="22" t="s">
        <v>77</v>
      </c>
      <c r="AF718" s="22"/>
    </row>
    <row r="719" spans="1:32" x14ac:dyDescent="0.2">
      <c r="A719" s="1">
        <v>901</v>
      </c>
      <c r="D719" s="1" t="s">
        <v>5</v>
      </c>
      <c r="E719" s="1" t="s">
        <v>25</v>
      </c>
      <c r="F719" s="15">
        <v>5.5</v>
      </c>
      <c r="G719" s="15">
        <v>5</v>
      </c>
      <c r="H719" s="15">
        <v>9</v>
      </c>
      <c r="I719" s="1">
        <f t="shared" si="48"/>
        <v>5.5</v>
      </c>
      <c r="O719" s="18">
        <v>21</v>
      </c>
      <c r="Q719" s="1" t="s">
        <v>1</v>
      </c>
      <c r="R719" s="20" t="str">
        <f t="shared" si="47"/>
        <v>horizontal</v>
      </c>
      <c r="S719" s="19">
        <v>-0.14081411960000001</v>
      </c>
      <c r="T719" s="19">
        <v>0</v>
      </c>
      <c r="U719" s="19">
        <v>0</v>
      </c>
      <c r="V719" s="20">
        <v>0</v>
      </c>
      <c r="W719" s="20">
        <v>-1</v>
      </c>
      <c r="Z719" s="15">
        <v>101</v>
      </c>
      <c r="AD719" s="1">
        <v>0.31757086753956298</v>
      </c>
      <c r="AE719" s="22" t="s">
        <v>77</v>
      </c>
      <c r="AF719" s="22"/>
    </row>
    <row r="720" spans="1:32" x14ac:dyDescent="0.2">
      <c r="A720" s="1">
        <v>902</v>
      </c>
      <c r="D720" s="1" t="s">
        <v>5</v>
      </c>
      <c r="E720" s="1" t="s">
        <v>25</v>
      </c>
      <c r="F720" s="15">
        <v>5.5</v>
      </c>
      <c r="G720" s="15">
        <v>5</v>
      </c>
      <c r="H720" s="15">
        <v>9</v>
      </c>
      <c r="I720" s="1">
        <f t="shared" si="48"/>
        <v>5.5</v>
      </c>
      <c r="O720" s="18">
        <v>21</v>
      </c>
      <c r="Q720" s="1" t="s">
        <v>1</v>
      </c>
      <c r="R720" s="20" t="str">
        <f t="shared" si="47"/>
        <v>horizontal</v>
      </c>
      <c r="S720" s="19">
        <v>-0.24100953210000001</v>
      </c>
      <c r="T720" s="19">
        <v>0</v>
      </c>
      <c r="U720" s="19">
        <v>0</v>
      </c>
      <c r="V720" s="20">
        <v>0</v>
      </c>
      <c r="W720" s="20">
        <v>-1</v>
      </c>
      <c r="Z720" s="15">
        <v>101</v>
      </c>
      <c r="AD720" s="1">
        <v>0.28420654645587701</v>
      </c>
      <c r="AE720" s="22" t="s">
        <v>77</v>
      </c>
      <c r="AF720" s="22"/>
    </row>
    <row r="721" spans="1:32" x14ac:dyDescent="0.2">
      <c r="A721" s="1">
        <v>903</v>
      </c>
      <c r="D721" s="1" t="s">
        <v>5</v>
      </c>
      <c r="E721" s="1" t="s">
        <v>25</v>
      </c>
      <c r="F721" s="15">
        <v>5.5</v>
      </c>
      <c r="G721" s="15">
        <v>5</v>
      </c>
      <c r="H721" s="15">
        <v>9</v>
      </c>
      <c r="I721" s="1">
        <f t="shared" si="48"/>
        <v>5.5</v>
      </c>
      <c r="O721" s="18">
        <v>21</v>
      </c>
      <c r="Q721" s="1" t="s">
        <v>1</v>
      </c>
      <c r="R721" s="20" t="str">
        <f t="shared" si="47"/>
        <v>horizontal</v>
      </c>
      <c r="S721" s="19">
        <v>-0.32007599679999998</v>
      </c>
      <c r="T721" s="19">
        <v>0</v>
      </c>
      <c r="U721" s="19">
        <v>0</v>
      </c>
      <c r="V721" s="20">
        <v>0</v>
      </c>
      <c r="W721" s="20">
        <v>-1</v>
      </c>
      <c r="Z721" s="15">
        <v>101</v>
      </c>
      <c r="AD721" s="1">
        <v>0.24587099519464001</v>
      </c>
      <c r="AE721" s="22" t="s">
        <v>77</v>
      </c>
      <c r="AF721" s="22"/>
    </row>
    <row r="722" spans="1:32" x14ac:dyDescent="0.2">
      <c r="A722" s="1">
        <v>904</v>
      </c>
      <c r="D722" s="1" t="s">
        <v>5</v>
      </c>
      <c r="E722" s="1" t="s">
        <v>25</v>
      </c>
      <c r="F722" s="15">
        <v>5.5</v>
      </c>
      <c r="G722" s="15">
        <v>5</v>
      </c>
      <c r="H722" s="15">
        <v>9</v>
      </c>
      <c r="I722" s="1">
        <f t="shared" si="48"/>
        <v>5.5</v>
      </c>
      <c r="O722" s="18">
        <v>21</v>
      </c>
      <c r="Q722" s="1" t="s">
        <v>1</v>
      </c>
      <c r="R722" s="20" t="str">
        <f t="shared" si="47"/>
        <v>horizontal</v>
      </c>
      <c r="S722" s="19">
        <v>-0.42036898010000001</v>
      </c>
      <c r="T722" s="19">
        <v>0</v>
      </c>
      <c r="U722" s="19">
        <v>0</v>
      </c>
      <c r="V722" s="20">
        <v>0</v>
      </c>
      <c r="W722" s="20">
        <v>-1</v>
      </c>
      <c r="Z722" s="15">
        <v>101</v>
      </c>
      <c r="AD722" s="1">
        <v>0.245778302973468</v>
      </c>
      <c r="AE722" s="22" t="s">
        <v>77</v>
      </c>
      <c r="AF722" s="22"/>
    </row>
    <row r="723" spans="1:32" x14ac:dyDescent="0.2">
      <c r="A723" s="1">
        <v>905</v>
      </c>
      <c r="D723" s="1" t="s">
        <v>5</v>
      </c>
      <c r="E723" s="1" t="s">
        <v>25</v>
      </c>
      <c r="F723" s="15">
        <v>5.5</v>
      </c>
      <c r="G723" s="15">
        <v>5</v>
      </c>
      <c r="H723" s="15">
        <v>9</v>
      </c>
      <c r="I723" s="1">
        <f t="shared" si="48"/>
        <v>5.5</v>
      </c>
      <c r="O723" s="18">
        <v>21</v>
      </c>
      <c r="Q723" s="1" t="s">
        <v>1</v>
      </c>
      <c r="R723" s="20" t="str">
        <f t="shared" si="47"/>
        <v>horizontal</v>
      </c>
      <c r="S723" s="19">
        <v>-0.54175676149999996</v>
      </c>
      <c r="T723" s="19">
        <v>0</v>
      </c>
      <c r="U723" s="19">
        <v>0</v>
      </c>
      <c r="V723" s="20">
        <v>0</v>
      </c>
      <c r="W723" s="20">
        <v>-1</v>
      </c>
      <c r="Z723" s="15">
        <v>101</v>
      </c>
      <c r="AD723" s="1">
        <v>0.23901177082796901</v>
      </c>
      <c r="AE723" s="22" t="s">
        <v>77</v>
      </c>
      <c r="AF723" s="22"/>
    </row>
    <row r="724" spans="1:32" x14ac:dyDescent="0.2">
      <c r="A724" s="1">
        <v>906</v>
      </c>
      <c r="D724" s="1" t="s">
        <v>5</v>
      </c>
      <c r="E724" s="1" t="s">
        <v>25</v>
      </c>
      <c r="F724" s="15">
        <v>5.5</v>
      </c>
      <c r="G724" s="15">
        <v>5</v>
      </c>
      <c r="H724" s="15">
        <v>9</v>
      </c>
      <c r="I724" s="1">
        <f t="shared" si="48"/>
        <v>5.5</v>
      </c>
      <c r="O724" s="18">
        <v>21</v>
      </c>
      <c r="Q724" s="1" t="s">
        <v>1</v>
      </c>
      <c r="R724" s="20" t="str">
        <f t="shared" si="47"/>
        <v>horizontal</v>
      </c>
      <c r="S724" s="19">
        <v>-0.66047110409999998</v>
      </c>
      <c r="T724" s="19">
        <v>0</v>
      </c>
      <c r="U724" s="19">
        <v>0</v>
      </c>
      <c r="V724" s="20">
        <v>0</v>
      </c>
      <c r="W724" s="20">
        <v>-1</v>
      </c>
      <c r="Z724" s="15">
        <v>101</v>
      </c>
      <c r="AD724" s="1">
        <v>0.22060260784956701</v>
      </c>
      <c r="AE724" s="22" t="s">
        <v>77</v>
      </c>
      <c r="AF724" s="22"/>
    </row>
    <row r="725" spans="1:32" x14ac:dyDescent="0.2">
      <c r="A725" s="1">
        <v>907</v>
      </c>
      <c r="D725" s="1" t="s">
        <v>5</v>
      </c>
      <c r="E725" s="1" t="s">
        <v>25</v>
      </c>
      <c r="F725" s="15">
        <v>5.5</v>
      </c>
      <c r="G725" s="15">
        <v>5</v>
      </c>
      <c r="H725" s="15">
        <v>9</v>
      </c>
      <c r="I725" s="1">
        <f t="shared" si="48"/>
        <v>5.5</v>
      </c>
      <c r="O725" s="18">
        <v>21</v>
      </c>
      <c r="Q725" s="1" t="s">
        <v>1</v>
      </c>
      <c r="R725" s="20" t="str">
        <f t="shared" si="47"/>
        <v>horizontal</v>
      </c>
      <c r="S725" s="19">
        <v>-0.76070554499999998</v>
      </c>
      <c r="T725" s="19">
        <v>0</v>
      </c>
      <c r="U725" s="19">
        <v>0</v>
      </c>
      <c r="V725" s="20">
        <v>0</v>
      </c>
      <c r="W725" s="20">
        <v>-1</v>
      </c>
      <c r="Z725" s="15">
        <v>101</v>
      </c>
      <c r="AD725" s="1">
        <v>0.20054693831088699</v>
      </c>
      <c r="AE725" s="22" t="s">
        <v>77</v>
      </c>
      <c r="AF725" s="22"/>
    </row>
    <row r="726" spans="1:32" x14ac:dyDescent="0.2">
      <c r="A726" s="1">
        <v>908</v>
      </c>
      <c r="D726" s="1" t="s">
        <v>5</v>
      </c>
      <c r="E726" s="1" t="s">
        <v>25</v>
      </c>
      <c r="F726" s="15">
        <v>5.5</v>
      </c>
      <c r="G726" s="15">
        <v>5</v>
      </c>
      <c r="H726" s="15">
        <v>9</v>
      </c>
      <c r="I726" s="1">
        <f t="shared" si="48"/>
        <v>5.5</v>
      </c>
      <c r="O726" s="18">
        <v>21</v>
      </c>
      <c r="Q726" s="1" t="s">
        <v>1</v>
      </c>
      <c r="R726" s="20" t="str">
        <f t="shared" si="47"/>
        <v>horizontal</v>
      </c>
      <c r="S726" s="19">
        <v>-1.0007930330000001</v>
      </c>
      <c r="T726" s="19">
        <v>0</v>
      </c>
      <c r="U726" s="19">
        <v>0</v>
      </c>
      <c r="V726" s="20">
        <v>0</v>
      </c>
      <c r="W726" s="20">
        <v>-1</v>
      </c>
      <c r="Z726" s="15">
        <v>101</v>
      </c>
      <c r="AD726" s="1">
        <v>0.170380498857609</v>
      </c>
      <c r="AE726" s="22" t="s">
        <v>77</v>
      </c>
      <c r="AF726" s="22"/>
    </row>
    <row r="727" spans="1:32" x14ac:dyDescent="0.2">
      <c r="A727" s="1">
        <v>909</v>
      </c>
      <c r="D727" s="1" t="s">
        <v>5</v>
      </c>
      <c r="E727" s="1" t="s">
        <v>25</v>
      </c>
      <c r="F727" s="15">
        <v>5.5</v>
      </c>
      <c r="G727" s="15">
        <v>5</v>
      </c>
      <c r="H727" s="15">
        <v>9</v>
      </c>
      <c r="I727" s="1">
        <f t="shared" si="48"/>
        <v>5.5</v>
      </c>
      <c r="O727" s="18">
        <v>21</v>
      </c>
      <c r="Q727" s="1" t="s">
        <v>1</v>
      </c>
      <c r="R727" s="20" t="str">
        <f t="shared" si="47"/>
        <v>horizontal</v>
      </c>
      <c r="S727" s="19">
        <v>-1.2487983890000001</v>
      </c>
      <c r="T727" s="19">
        <v>0</v>
      </c>
      <c r="U727" s="19">
        <v>0</v>
      </c>
      <c r="V727" s="20">
        <v>0</v>
      </c>
      <c r="W727" s="20">
        <v>-1</v>
      </c>
      <c r="Z727" s="15">
        <v>101</v>
      </c>
      <c r="AD727" s="1">
        <v>0.14020674159739499</v>
      </c>
      <c r="AE727" s="22" t="s">
        <v>77</v>
      </c>
      <c r="AF727" s="22"/>
    </row>
    <row r="728" spans="1:32" x14ac:dyDescent="0.2">
      <c r="A728" s="1">
        <v>910</v>
      </c>
      <c r="D728" s="1" t="s">
        <v>5</v>
      </c>
      <c r="E728" s="1" t="s">
        <v>25</v>
      </c>
      <c r="F728" s="15">
        <v>5.5</v>
      </c>
      <c r="G728" s="15">
        <v>5</v>
      </c>
      <c r="H728" s="15">
        <v>9</v>
      </c>
      <c r="I728" s="1">
        <f t="shared" si="48"/>
        <v>5.5</v>
      </c>
      <c r="O728" s="18">
        <v>21</v>
      </c>
      <c r="Q728" s="1" t="s">
        <v>1</v>
      </c>
      <c r="R728" s="20" t="str">
        <f t="shared" si="47"/>
        <v>horizontal</v>
      </c>
      <c r="S728" s="19">
        <v>-1.4889590559999999</v>
      </c>
      <c r="T728" s="19">
        <v>0</v>
      </c>
      <c r="U728" s="19">
        <v>0</v>
      </c>
      <c r="V728" s="20">
        <v>0</v>
      </c>
      <c r="W728" s="20">
        <v>-1</v>
      </c>
      <c r="Z728" s="15">
        <v>101</v>
      </c>
      <c r="AD728" s="1">
        <v>0.134994023791003</v>
      </c>
      <c r="AE728" s="22" t="s">
        <v>77</v>
      </c>
      <c r="AF728" s="22"/>
    </row>
    <row r="729" spans="1:32" x14ac:dyDescent="0.2">
      <c r="A729" s="1">
        <v>911</v>
      </c>
      <c r="D729" s="1" t="s">
        <v>5</v>
      </c>
      <c r="E729" s="1" t="s">
        <v>25</v>
      </c>
      <c r="F729" s="15">
        <v>3.5</v>
      </c>
      <c r="G729" s="15">
        <v>3.15</v>
      </c>
      <c r="H729" s="15">
        <v>8</v>
      </c>
      <c r="I729" s="1">
        <f t="shared" si="48"/>
        <v>3.5</v>
      </c>
      <c r="O729" s="18">
        <v>21</v>
      </c>
      <c r="Q729" s="1" t="s">
        <v>1</v>
      </c>
      <c r="R729" s="20" t="str">
        <f t="shared" si="47"/>
        <v>horizontal</v>
      </c>
      <c r="S729" s="19">
        <v>-1.11230665E-3</v>
      </c>
      <c r="T729" s="19">
        <v>0</v>
      </c>
      <c r="U729" s="19">
        <v>0</v>
      </c>
      <c r="V729" s="20">
        <v>0</v>
      </c>
      <c r="W729" s="20">
        <v>-1</v>
      </c>
      <c r="Z729" s="15">
        <v>101</v>
      </c>
      <c r="AD729" s="1">
        <v>0.37925266219105902</v>
      </c>
      <c r="AE729" s="22" t="s">
        <v>77</v>
      </c>
      <c r="AF729" s="22"/>
    </row>
    <row r="730" spans="1:32" x14ac:dyDescent="0.2">
      <c r="A730" s="1">
        <v>912</v>
      </c>
      <c r="D730" s="1" t="s">
        <v>5</v>
      </c>
      <c r="E730" s="1" t="s">
        <v>25</v>
      </c>
      <c r="F730" s="15">
        <v>3.5</v>
      </c>
      <c r="G730" s="15">
        <v>3.15</v>
      </c>
      <c r="H730" s="15">
        <v>8</v>
      </c>
      <c r="I730" s="1">
        <f t="shared" si="48"/>
        <v>3.5</v>
      </c>
      <c r="O730" s="18">
        <v>21</v>
      </c>
      <c r="Q730" s="1" t="s">
        <v>1</v>
      </c>
      <c r="R730" s="20" t="str">
        <f t="shared" si="47"/>
        <v>horizontal</v>
      </c>
      <c r="S730" s="19">
        <v>-0.1433558378</v>
      </c>
      <c r="T730" s="19">
        <v>0</v>
      </c>
      <c r="U730" s="19">
        <v>0</v>
      </c>
      <c r="V730" s="20">
        <v>0</v>
      </c>
      <c r="W730" s="20">
        <v>-1</v>
      </c>
      <c r="Z730" s="15">
        <v>101</v>
      </c>
      <c r="AD730" s="1">
        <v>0.28429679940807001</v>
      </c>
      <c r="AE730" s="22" t="s">
        <v>77</v>
      </c>
      <c r="AF730" s="22"/>
    </row>
    <row r="731" spans="1:32" x14ac:dyDescent="0.2">
      <c r="A731" s="1">
        <v>913</v>
      </c>
      <c r="D731" s="1" t="s">
        <v>5</v>
      </c>
      <c r="E731" s="1" t="s">
        <v>25</v>
      </c>
      <c r="F731" s="15">
        <v>3.5</v>
      </c>
      <c r="G731" s="15">
        <v>3.15</v>
      </c>
      <c r="H731" s="15">
        <v>8</v>
      </c>
      <c r="I731" s="1">
        <f t="shared" si="48"/>
        <v>3.5</v>
      </c>
      <c r="O731" s="18">
        <v>21</v>
      </c>
      <c r="Q731" s="1" t="s">
        <v>1</v>
      </c>
      <c r="R731" s="20" t="str">
        <f t="shared" si="47"/>
        <v>horizontal</v>
      </c>
      <c r="S731" s="19">
        <v>-0.24091196140000001</v>
      </c>
      <c r="T731" s="19">
        <v>0</v>
      </c>
      <c r="U731" s="19">
        <v>0</v>
      </c>
      <c r="V731" s="20">
        <v>0</v>
      </c>
      <c r="W731" s="20">
        <v>-1</v>
      </c>
      <c r="Z731" s="15">
        <v>101</v>
      </c>
      <c r="AD731" s="1">
        <v>0.250934917593363</v>
      </c>
      <c r="AE731" s="22" t="s">
        <v>77</v>
      </c>
      <c r="AF731" s="22"/>
    </row>
    <row r="732" spans="1:32" x14ac:dyDescent="0.2">
      <c r="A732" s="1">
        <v>914</v>
      </c>
      <c r="D732" s="1" t="s">
        <v>5</v>
      </c>
      <c r="E732" s="1" t="s">
        <v>25</v>
      </c>
      <c r="F732" s="15">
        <v>3.5</v>
      </c>
      <c r="G732" s="15">
        <v>3.15</v>
      </c>
      <c r="H732" s="15">
        <v>8</v>
      </c>
      <c r="I732" s="1">
        <f t="shared" si="48"/>
        <v>3.5</v>
      </c>
      <c r="O732" s="18">
        <v>21</v>
      </c>
      <c r="Q732" s="1" t="s">
        <v>1</v>
      </c>
      <c r="R732" s="20" t="str">
        <f t="shared" si="47"/>
        <v>horizontal</v>
      </c>
      <c r="S732" s="19">
        <v>-0.3200174543</v>
      </c>
      <c r="T732" s="19">
        <v>0</v>
      </c>
      <c r="U732" s="19">
        <v>0</v>
      </c>
      <c r="V732" s="20">
        <v>0</v>
      </c>
      <c r="W732" s="20">
        <v>-1</v>
      </c>
      <c r="Z732" s="15">
        <v>101</v>
      </c>
      <c r="AD732" s="1">
        <v>0.225908017877131</v>
      </c>
      <c r="AE732" s="22" t="s">
        <v>77</v>
      </c>
      <c r="AF732" s="22"/>
    </row>
    <row r="733" spans="1:32" x14ac:dyDescent="0.2">
      <c r="A733" s="1">
        <v>915</v>
      </c>
      <c r="D733" s="1" t="s">
        <v>5</v>
      </c>
      <c r="E733" s="1" t="s">
        <v>25</v>
      </c>
      <c r="F733" s="15">
        <v>3.5</v>
      </c>
      <c r="G733" s="15">
        <v>3.15</v>
      </c>
      <c r="H733" s="15">
        <v>8</v>
      </c>
      <c r="I733" s="1">
        <f t="shared" si="48"/>
        <v>3.5</v>
      </c>
      <c r="O733" s="18">
        <v>21</v>
      </c>
      <c r="Q733" s="1" t="s">
        <v>1</v>
      </c>
      <c r="R733" s="20" t="str">
        <f t="shared" si="47"/>
        <v>horizontal</v>
      </c>
      <c r="S733" s="19">
        <v>-0.42028604489999999</v>
      </c>
      <c r="T733" s="19">
        <v>0</v>
      </c>
      <c r="U733" s="19">
        <v>0</v>
      </c>
      <c r="V733" s="20">
        <v>0</v>
      </c>
      <c r="W733" s="20">
        <v>-1</v>
      </c>
      <c r="Z733" s="15">
        <v>101</v>
      </c>
      <c r="AD733" s="1">
        <v>0.21749741844033099</v>
      </c>
      <c r="AE733" s="22" t="s">
        <v>77</v>
      </c>
      <c r="AF733" s="22"/>
    </row>
    <row r="734" spans="1:32" x14ac:dyDescent="0.2">
      <c r="A734" s="1">
        <v>916</v>
      </c>
      <c r="D734" s="1" t="s">
        <v>5</v>
      </c>
      <c r="E734" s="1" t="s">
        <v>25</v>
      </c>
      <c r="F734" s="15">
        <v>3.5</v>
      </c>
      <c r="G734" s="15">
        <v>3.15</v>
      </c>
      <c r="H734" s="15">
        <v>8</v>
      </c>
      <c r="I734" s="1">
        <f t="shared" si="48"/>
        <v>3.5</v>
      </c>
      <c r="O734" s="18">
        <v>21</v>
      </c>
      <c r="Q734" s="1" t="s">
        <v>1</v>
      </c>
      <c r="R734" s="20" t="str">
        <f t="shared" si="47"/>
        <v>horizontal</v>
      </c>
      <c r="S734" s="19">
        <v>-0.54169821910000004</v>
      </c>
      <c r="T734" s="19">
        <v>0</v>
      </c>
      <c r="U734" s="19">
        <v>0</v>
      </c>
      <c r="V734" s="20">
        <v>0</v>
      </c>
      <c r="W734" s="20">
        <v>-1</v>
      </c>
      <c r="Z734" s="15">
        <v>101</v>
      </c>
      <c r="AD734" s="1">
        <v>0.21904879351046</v>
      </c>
      <c r="AE734" s="22" t="s">
        <v>77</v>
      </c>
      <c r="AF734" s="22"/>
    </row>
    <row r="735" spans="1:32" x14ac:dyDescent="0.2">
      <c r="A735" s="1">
        <v>917</v>
      </c>
      <c r="D735" s="1" t="s">
        <v>5</v>
      </c>
      <c r="E735" s="1" t="s">
        <v>25</v>
      </c>
      <c r="F735" s="15">
        <v>3.5</v>
      </c>
      <c r="G735" s="15">
        <v>3.15</v>
      </c>
      <c r="H735" s="15">
        <v>8</v>
      </c>
      <c r="I735" s="1">
        <f t="shared" si="48"/>
        <v>3.5</v>
      </c>
      <c r="O735" s="18">
        <v>21</v>
      </c>
      <c r="Q735" s="1" t="s">
        <v>1</v>
      </c>
      <c r="R735" s="20" t="str">
        <f t="shared" si="47"/>
        <v>horizontal</v>
      </c>
      <c r="S735" s="19">
        <v>-0.66044183290000003</v>
      </c>
      <c r="T735" s="19">
        <v>0</v>
      </c>
      <c r="U735" s="19">
        <v>0</v>
      </c>
      <c r="V735" s="20">
        <v>0</v>
      </c>
      <c r="W735" s="20">
        <v>-1</v>
      </c>
      <c r="Z735" s="15">
        <v>101</v>
      </c>
      <c r="AD735" s="1">
        <v>0.210621119190813</v>
      </c>
      <c r="AE735" s="22" t="s">
        <v>77</v>
      </c>
      <c r="AF735" s="22"/>
    </row>
    <row r="736" spans="1:32" x14ac:dyDescent="0.2">
      <c r="A736" s="1">
        <v>918</v>
      </c>
      <c r="D736" s="1" t="s">
        <v>5</v>
      </c>
      <c r="E736" s="1" t="s">
        <v>25</v>
      </c>
      <c r="F736" s="15">
        <v>3.5</v>
      </c>
      <c r="G736" s="15">
        <v>3.15</v>
      </c>
      <c r="H736" s="15">
        <v>8</v>
      </c>
      <c r="I736" s="1">
        <f t="shared" si="48"/>
        <v>3.5</v>
      </c>
      <c r="O736" s="18">
        <v>21</v>
      </c>
      <c r="Q736" s="1" t="s">
        <v>1</v>
      </c>
      <c r="R736" s="20" t="str">
        <f t="shared" si="47"/>
        <v>horizontal</v>
      </c>
      <c r="S736" s="19">
        <v>-0.76066651669999996</v>
      </c>
      <c r="T736" s="19">
        <v>0</v>
      </c>
      <c r="U736" s="19">
        <v>0</v>
      </c>
      <c r="V736" s="20">
        <v>0</v>
      </c>
      <c r="W736" s="20">
        <v>-1</v>
      </c>
      <c r="Z736" s="15">
        <v>101</v>
      </c>
      <c r="AD736" s="1">
        <v>0.187238286765881</v>
      </c>
      <c r="AE736" s="22" t="s">
        <v>77</v>
      </c>
      <c r="AF736" s="22"/>
    </row>
    <row r="737" spans="1:32" x14ac:dyDescent="0.2">
      <c r="A737" s="1">
        <v>919</v>
      </c>
      <c r="D737" s="1" t="s">
        <v>5</v>
      </c>
      <c r="E737" s="1" t="s">
        <v>25</v>
      </c>
      <c r="F737" s="15">
        <v>3.5</v>
      </c>
      <c r="G737" s="15">
        <v>3.15</v>
      </c>
      <c r="H737" s="15">
        <v>8</v>
      </c>
      <c r="I737" s="1">
        <f t="shared" si="48"/>
        <v>3.5</v>
      </c>
      <c r="O737" s="18">
        <v>21</v>
      </c>
      <c r="Q737" s="1" t="s">
        <v>1</v>
      </c>
      <c r="R737" s="20" t="str">
        <f t="shared" si="47"/>
        <v>horizontal</v>
      </c>
      <c r="S737" s="19">
        <v>-0.99810495900000007</v>
      </c>
      <c r="T737" s="19">
        <v>0</v>
      </c>
      <c r="U737" s="19">
        <v>0</v>
      </c>
      <c r="V737" s="20">
        <v>0</v>
      </c>
      <c r="W737" s="20">
        <v>-1</v>
      </c>
      <c r="Z737" s="15">
        <v>101</v>
      </c>
      <c r="AD737" s="1">
        <v>0.153747123695329</v>
      </c>
      <c r="AE737" s="22" t="s">
        <v>77</v>
      </c>
      <c r="AF737" s="22"/>
    </row>
    <row r="738" spans="1:32" x14ac:dyDescent="0.2">
      <c r="A738" s="1">
        <v>920</v>
      </c>
      <c r="D738" s="1" t="s">
        <v>5</v>
      </c>
      <c r="E738" s="1" t="s">
        <v>25</v>
      </c>
      <c r="F738" s="15">
        <v>3.5</v>
      </c>
      <c r="G738" s="15">
        <v>3.15</v>
      </c>
      <c r="H738" s="15">
        <v>8</v>
      </c>
      <c r="I738" s="1">
        <f t="shared" si="48"/>
        <v>3.5</v>
      </c>
      <c r="O738" s="18">
        <v>21</v>
      </c>
      <c r="Q738" s="1" t="s">
        <v>1</v>
      </c>
      <c r="R738" s="20" t="str">
        <f t="shared" si="47"/>
        <v>horizontal</v>
      </c>
      <c r="S738" s="19">
        <v>-1.2487447249999999</v>
      </c>
      <c r="T738" s="19">
        <v>0</v>
      </c>
      <c r="U738" s="19">
        <v>0</v>
      </c>
      <c r="V738" s="20">
        <v>0</v>
      </c>
      <c r="W738" s="20">
        <v>-1</v>
      </c>
      <c r="Z738" s="15">
        <v>101</v>
      </c>
      <c r="AD738" s="1">
        <v>0.121907345723012</v>
      </c>
      <c r="AE738" s="22" t="s">
        <v>77</v>
      </c>
      <c r="AF738" s="22"/>
    </row>
    <row r="739" spans="1:32" s="4" customFormat="1" x14ac:dyDescent="0.2">
      <c r="A739" s="1">
        <v>921</v>
      </c>
      <c r="B739" s="52"/>
      <c r="D739" s="4" t="s">
        <v>5</v>
      </c>
      <c r="E739" s="4" t="s">
        <v>25</v>
      </c>
      <c r="F739" s="53">
        <v>3.5</v>
      </c>
      <c r="G739" s="53">
        <v>3.15</v>
      </c>
      <c r="H739" s="53">
        <v>8</v>
      </c>
      <c r="I739" s="4">
        <f t="shared" si="48"/>
        <v>3.5</v>
      </c>
      <c r="J739" s="54"/>
      <c r="K739" s="54"/>
      <c r="L739" s="54"/>
      <c r="M739" s="55"/>
      <c r="N739" s="56"/>
      <c r="O739" s="56">
        <v>21</v>
      </c>
      <c r="P739" s="57"/>
      <c r="Q739" s="1" t="s">
        <v>1</v>
      </c>
      <c r="R739" s="20" t="str">
        <f t="shared" si="47"/>
        <v>horizontal</v>
      </c>
      <c r="S739" s="58">
        <v>-1.4915056519999998</v>
      </c>
      <c r="T739" s="58">
        <v>0</v>
      </c>
      <c r="U739" s="58">
        <v>0</v>
      </c>
      <c r="V739" s="59">
        <v>0</v>
      </c>
      <c r="W739" s="59">
        <v>-1</v>
      </c>
      <c r="Y739" s="56"/>
      <c r="Z739" s="53">
        <v>101</v>
      </c>
      <c r="AA739" s="54"/>
      <c r="AB739" s="54"/>
      <c r="AC739" s="54"/>
      <c r="AD739" s="4">
        <v>0.10338353710263599</v>
      </c>
      <c r="AE739" s="60" t="s">
        <v>77</v>
      </c>
      <c r="AF739" s="22"/>
    </row>
    <row r="740" spans="1:32" s="3" customFormat="1" x14ac:dyDescent="0.2">
      <c r="A740" s="1">
        <v>922</v>
      </c>
      <c r="B740" s="47"/>
      <c r="D740" s="3" t="s">
        <v>4</v>
      </c>
      <c r="E740" s="3" t="s">
        <v>25</v>
      </c>
      <c r="F740" s="34">
        <v>5.5</v>
      </c>
      <c r="G740" s="34">
        <v>0</v>
      </c>
      <c r="H740" s="34">
        <v>9</v>
      </c>
      <c r="I740" s="3">
        <f t="shared" si="48"/>
        <v>5.5</v>
      </c>
      <c r="J740" s="48"/>
      <c r="K740" s="48"/>
      <c r="L740" s="48"/>
      <c r="M740" s="49"/>
      <c r="N740" s="50"/>
      <c r="O740" s="50">
        <v>21</v>
      </c>
      <c r="P740" s="51"/>
      <c r="Q740" s="1" t="s">
        <v>33</v>
      </c>
      <c r="R740" s="20" t="s">
        <v>138</v>
      </c>
      <c r="S740" s="35">
        <v>0</v>
      </c>
      <c r="T740" s="35">
        <v>0</v>
      </c>
      <c r="U740" s="35">
        <v>0</v>
      </c>
      <c r="V740" s="36">
        <v>1</v>
      </c>
      <c r="W740" s="36">
        <v>0</v>
      </c>
      <c r="Y740" s="50"/>
      <c r="Z740" s="34">
        <v>101</v>
      </c>
      <c r="AA740" s="48"/>
      <c r="AB740" s="48"/>
      <c r="AC740" s="48"/>
      <c r="AD740" s="3">
        <v>0.62833333333333297</v>
      </c>
      <c r="AE740" s="37" t="s">
        <v>78</v>
      </c>
      <c r="AF740" s="22"/>
    </row>
    <row r="741" spans="1:32" x14ac:dyDescent="0.2">
      <c r="A741" s="1">
        <v>923</v>
      </c>
      <c r="D741" s="1" t="s">
        <v>4</v>
      </c>
      <c r="E741" s="1" t="s">
        <v>25</v>
      </c>
      <c r="F741" s="15">
        <v>5.5</v>
      </c>
      <c r="G741" s="15">
        <v>0</v>
      </c>
      <c r="H741" s="15">
        <v>9</v>
      </c>
      <c r="I741" s="1">
        <f t="shared" si="48"/>
        <v>5.5</v>
      </c>
      <c r="O741" s="18">
        <v>21</v>
      </c>
      <c r="Q741" s="1" t="s">
        <v>1</v>
      </c>
      <c r="R741" s="20" t="str">
        <f t="shared" si="47"/>
        <v>inclined</v>
      </c>
      <c r="S741" s="19">
        <v>-3.7009063439999997E-2</v>
      </c>
      <c r="T741" s="19">
        <v>0</v>
      </c>
      <c r="U741" s="19">
        <v>0</v>
      </c>
      <c r="V741" s="20">
        <v>1</v>
      </c>
      <c r="W741" s="20">
        <v>0</v>
      </c>
      <c r="Z741" s="15">
        <v>101</v>
      </c>
      <c r="AD741" s="1">
        <v>0.64666666666666595</v>
      </c>
      <c r="AE741" s="22" t="s">
        <v>78</v>
      </c>
      <c r="AF741" s="22"/>
    </row>
    <row r="742" spans="1:32" x14ac:dyDescent="0.2">
      <c r="A742" s="1">
        <v>924</v>
      </c>
      <c r="D742" s="1" t="s">
        <v>4</v>
      </c>
      <c r="E742" s="1" t="s">
        <v>25</v>
      </c>
      <c r="F742" s="15">
        <v>5.5</v>
      </c>
      <c r="G742" s="15">
        <v>0</v>
      </c>
      <c r="H742" s="15">
        <v>9</v>
      </c>
      <c r="I742" s="1">
        <f t="shared" si="48"/>
        <v>5.5</v>
      </c>
      <c r="O742" s="18">
        <v>21</v>
      </c>
      <c r="Q742" s="1" t="s">
        <v>1</v>
      </c>
      <c r="R742" s="20" t="str">
        <f t="shared" si="47"/>
        <v>inclined</v>
      </c>
      <c r="S742" s="19">
        <v>-9.5166163139999996E-2</v>
      </c>
      <c r="T742" s="19">
        <v>0</v>
      </c>
      <c r="U742" s="19">
        <v>0</v>
      </c>
      <c r="V742" s="20">
        <v>1</v>
      </c>
      <c r="W742" s="20">
        <v>0</v>
      </c>
      <c r="Z742" s="15">
        <v>101</v>
      </c>
      <c r="AD742" s="1">
        <v>0.64</v>
      </c>
      <c r="AE742" s="22" t="s">
        <v>78</v>
      </c>
      <c r="AF742" s="22"/>
    </row>
    <row r="743" spans="1:32" x14ac:dyDescent="0.2">
      <c r="A743" s="1">
        <v>925</v>
      </c>
      <c r="D743" s="1" t="s">
        <v>4</v>
      </c>
      <c r="E743" s="1" t="s">
        <v>25</v>
      </c>
      <c r="F743" s="15">
        <v>5.5</v>
      </c>
      <c r="G743" s="15">
        <v>0</v>
      </c>
      <c r="H743" s="15">
        <v>9</v>
      </c>
      <c r="I743" s="1">
        <f t="shared" si="48"/>
        <v>5.5</v>
      </c>
      <c r="O743" s="18">
        <v>21</v>
      </c>
      <c r="Q743" s="1" t="s">
        <v>1</v>
      </c>
      <c r="R743" s="20" t="str">
        <f t="shared" si="47"/>
        <v>inclined</v>
      </c>
      <c r="S743" s="19">
        <v>-0.24848942600000001</v>
      </c>
      <c r="T743" s="19">
        <v>0</v>
      </c>
      <c r="U743" s="19">
        <v>0</v>
      </c>
      <c r="V743" s="20">
        <v>1</v>
      </c>
      <c r="W743" s="20">
        <v>0</v>
      </c>
      <c r="Z743" s="15">
        <v>101</v>
      </c>
      <c r="AD743" s="1">
        <v>0.67500000000000004</v>
      </c>
      <c r="AE743" s="22" t="s">
        <v>78</v>
      </c>
      <c r="AF743" s="22"/>
    </row>
    <row r="744" spans="1:32" x14ac:dyDescent="0.2">
      <c r="A744" s="1">
        <v>926</v>
      </c>
      <c r="D744" s="1" t="s">
        <v>4</v>
      </c>
      <c r="E744" s="1" t="s">
        <v>25</v>
      </c>
      <c r="F744" s="15">
        <v>5.5</v>
      </c>
      <c r="G744" s="15">
        <v>0</v>
      </c>
      <c r="H744" s="15">
        <v>9</v>
      </c>
      <c r="I744" s="1">
        <f t="shared" si="48"/>
        <v>5.5</v>
      </c>
      <c r="O744" s="18">
        <v>21</v>
      </c>
      <c r="Q744" s="1" t="s">
        <v>1</v>
      </c>
      <c r="R744" s="20" t="str">
        <f t="shared" si="47"/>
        <v>inclined</v>
      </c>
      <c r="S744" s="19">
        <v>-0.49697885200000003</v>
      </c>
      <c r="T744" s="19">
        <v>0</v>
      </c>
      <c r="U744" s="19">
        <v>0</v>
      </c>
      <c r="V744" s="20">
        <v>1</v>
      </c>
      <c r="W744" s="20">
        <v>0</v>
      </c>
      <c r="Z744" s="15">
        <v>101</v>
      </c>
      <c r="AD744" s="1">
        <v>0.71833333333333305</v>
      </c>
      <c r="AE744" s="22" t="s">
        <v>78</v>
      </c>
      <c r="AF744" s="22"/>
    </row>
    <row r="745" spans="1:32" x14ac:dyDescent="0.2">
      <c r="A745" s="1">
        <v>927</v>
      </c>
      <c r="D745" s="1" t="s">
        <v>4</v>
      </c>
      <c r="E745" s="1" t="s">
        <v>25</v>
      </c>
      <c r="F745" s="15">
        <v>5.5</v>
      </c>
      <c r="G745" s="15">
        <v>0</v>
      </c>
      <c r="H745" s="15">
        <v>9</v>
      </c>
      <c r="I745" s="1">
        <f t="shared" si="48"/>
        <v>5.5</v>
      </c>
      <c r="O745" s="18">
        <v>21</v>
      </c>
      <c r="Q745" s="1" t="s">
        <v>1</v>
      </c>
      <c r="R745" s="20" t="str">
        <f t="shared" si="47"/>
        <v>inclined</v>
      </c>
      <c r="S745" s="19">
        <v>-0.74546827789999992</v>
      </c>
      <c r="T745" s="19">
        <v>0</v>
      </c>
      <c r="U745" s="19">
        <v>0</v>
      </c>
      <c r="V745" s="20">
        <v>1</v>
      </c>
      <c r="W745" s="20">
        <v>0</v>
      </c>
      <c r="Z745" s="15">
        <v>101</v>
      </c>
      <c r="AD745" s="1">
        <v>0.63500000000000001</v>
      </c>
      <c r="AE745" s="22" t="s">
        <v>78</v>
      </c>
      <c r="AF745" s="22"/>
    </row>
    <row r="746" spans="1:32" x14ac:dyDescent="0.2">
      <c r="A746" s="1">
        <v>928</v>
      </c>
      <c r="D746" s="1" t="s">
        <v>4</v>
      </c>
      <c r="E746" s="1" t="s">
        <v>25</v>
      </c>
      <c r="F746" s="15">
        <v>5.5</v>
      </c>
      <c r="G746" s="15">
        <v>0</v>
      </c>
      <c r="H746" s="15">
        <v>9</v>
      </c>
      <c r="I746" s="1">
        <f t="shared" si="48"/>
        <v>5.5</v>
      </c>
      <c r="O746" s="18">
        <v>21</v>
      </c>
      <c r="Q746" s="1" t="s">
        <v>1</v>
      </c>
      <c r="R746" s="20" t="str">
        <f t="shared" si="47"/>
        <v>inclined</v>
      </c>
      <c r="S746" s="19">
        <v>-0.99395770389999993</v>
      </c>
      <c r="T746" s="19">
        <v>0</v>
      </c>
      <c r="U746" s="19">
        <v>0</v>
      </c>
      <c r="V746" s="20">
        <v>1</v>
      </c>
      <c r="W746" s="20">
        <v>0</v>
      </c>
      <c r="Z746" s="15">
        <v>101</v>
      </c>
      <c r="AD746" s="1">
        <v>0.396666666666666</v>
      </c>
      <c r="AE746" s="22" t="s">
        <v>78</v>
      </c>
      <c r="AF746" s="22"/>
    </row>
    <row r="747" spans="1:32" x14ac:dyDescent="0.2">
      <c r="A747" s="1">
        <v>929</v>
      </c>
      <c r="D747" s="1" t="s">
        <v>4</v>
      </c>
      <c r="E747" s="1" t="s">
        <v>25</v>
      </c>
      <c r="F747" s="15">
        <v>5.5</v>
      </c>
      <c r="G747" s="15">
        <v>0</v>
      </c>
      <c r="H747" s="15">
        <v>9</v>
      </c>
      <c r="I747" s="1">
        <f t="shared" si="48"/>
        <v>5.5</v>
      </c>
      <c r="O747" s="18">
        <v>21</v>
      </c>
      <c r="Q747" s="1" t="s">
        <v>1</v>
      </c>
      <c r="R747" s="20" t="str">
        <f t="shared" si="47"/>
        <v>inclined</v>
      </c>
      <c r="S747" s="19">
        <v>-1.094410876</v>
      </c>
      <c r="T747" s="19">
        <v>0</v>
      </c>
      <c r="U747" s="19">
        <v>0</v>
      </c>
      <c r="V747" s="20">
        <v>1</v>
      </c>
      <c r="W747" s="20">
        <v>0</v>
      </c>
      <c r="Z747" s="15">
        <v>101</v>
      </c>
      <c r="AD747" s="1">
        <v>0.293333333333333</v>
      </c>
      <c r="AE747" s="22" t="s">
        <v>78</v>
      </c>
      <c r="AF747" s="22"/>
    </row>
    <row r="748" spans="1:32" x14ac:dyDescent="0.2">
      <c r="A748" s="1">
        <v>930</v>
      </c>
      <c r="D748" s="1" t="s">
        <v>4</v>
      </c>
      <c r="E748" s="1" t="s">
        <v>25</v>
      </c>
      <c r="F748" s="15">
        <v>3.5</v>
      </c>
      <c r="G748" s="15">
        <v>0</v>
      </c>
      <c r="H748" s="15">
        <v>8</v>
      </c>
      <c r="I748" s="1">
        <f t="shared" si="48"/>
        <v>3.5</v>
      </c>
      <c r="O748" s="18">
        <v>21</v>
      </c>
      <c r="Q748" s="1" t="s">
        <v>33</v>
      </c>
      <c r="R748" s="20" t="str">
        <f t="shared" si="47"/>
        <v>inclined</v>
      </c>
      <c r="S748" s="19">
        <v>0</v>
      </c>
      <c r="T748" s="19">
        <v>0</v>
      </c>
      <c r="U748" s="19">
        <v>0</v>
      </c>
      <c r="V748" s="20">
        <v>1</v>
      </c>
      <c r="W748" s="20">
        <v>0</v>
      </c>
      <c r="Z748" s="15">
        <v>101</v>
      </c>
      <c r="AD748" s="1">
        <v>0.70499999999999996</v>
      </c>
      <c r="AE748" s="22" t="s">
        <v>78</v>
      </c>
      <c r="AF748" s="22"/>
    </row>
    <row r="749" spans="1:32" x14ac:dyDescent="0.2">
      <c r="A749" s="1">
        <v>931</v>
      </c>
      <c r="D749" s="1" t="s">
        <v>4</v>
      </c>
      <c r="E749" s="1" t="s">
        <v>25</v>
      </c>
      <c r="F749" s="15">
        <v>3.5</v>
      </c>
      <c r="G749" s="15">
        <v>0</v>
      </c>
      <c r="H749" s="15">
        <v>8</v>
      </c>
      <c r="I749" s="1">
        <f t="shared" si="48"/>
        <v>3.5</v>
      </c>
      <c r="O749" s="18">
        <v>21</v>
      </c>
      <c r="Q749" s="65" t="s">
        <v>1</v>
      </c>
      <c r="R749" s="20" t="str">
        <f t="shared" si="47"/>
        <v>inclined</v>
      </c>
      <c r="S749" s="19">
        <v>-3.7009063439999997E-2</v>
      </c>
      <c r="T749" s="19">
        <v>0</v>
      </c>
      <c r="U749" s="19">
        <v>0</v>
      </c>
      <c r="V749" s="20">
        <v>1</v>
      </c>
      <c r="W749" s="20">
        <v>0</v>
      </c>
      <c r="Z749" s="15">
        <v>101</v>
      </c>
      <c r="AD749" s="1">
        <v>0.70833333333333304</v>
      </c>
      <c r="AE749" s="22" t="s">
        <v>78</v>
      </c>
      <c r="AF749" s="22"/>
    </row>
    <row r="750" spans="1:32" x14ac:dyDescent="0.2">
      <c r="A750" s="1">
        <v>932</v>
      </c>
      <c r="D750" s="1" t="s">
        <v>4</v>
      </c>
      <c r="E750" s="1" t="s">
        <v>25</v>
      </c>
      <c r="F750" s="15">
        <v>3.5</v>
      </c>
      <c r="G750" s="15">
        <v>0</v>
      </c>
      <c r="H750" s="15">
        <v>8</v>
      </c>
      <c r="I750" s="1">
        <f t="shared" si="48"/>
        <v>3.5</v>
      </c>
      <c r="O750" s="18">
        <v>21</v>
      </c>
      <c r="Q750" s="66" t="s">
        <v>1</v>
      </c>
      <c r="R750" s="20" t="str">
        <f t="shared" si="47"/>
        <v>inclined</v>
      </c>
      <c r="S750" s="19">
        <v>-9.5166163139999996E-2</v>
      </c>
      <c r="T750" s="19">
        <v>0</v>
      </c>
      <c r="U750" s="19">
        <v>0</v>
      </c>
      <c r="V750" s="20">
        <v>1</v>
      </c>
      <c r="W750" s="20">
        <v>0</v>
      </c>
      <c r="Z750" s="15">
        <v>101</v>
      </c>
      <c r="AD750" s="1">
        <v>0.73333333333333295</v>
      </c>
      <c r="AE750" s="22" t="s">
        <v>78</v>
      </c>
      <c r="AF750" s="22"/>
    </row>
    <row r="751" spans="1:32" x14ac:dyDescent="0.2">
      <c r="A751" s="1">
        <v>933</v>
      </c>
      <c r="D751" s="1" t="s">
        <v>4</v>
      </c>
      <c r="E751" s="1" t="s">
        <v>25</v>
      </c>
      <c r="F751" s="15">
        <v>3.5</v>
      </c>
      <c r="G751" s="15">
        <v>0</v>
      </c>
      <c r="H751" s="15">
        <v>8</v>
      </c>
      <c r="I751" s="1">
        <f t="shared" si="48"/>
        <v>3.5</v>
      </c>
      <c r="O751" s="18">
        <v>21</v>
      </c>
      <c r="Q751" s="66" t="s">
        <v>1</v>
      </c>
      <c r="R751" s="20" t="str">
        <f t="shared" si="47"/>
        <v>inclined</v>
      </c>
      <c r="S751" s="19">
        <v>-0.24848942600000001</v>
      </c>
      <c r="T751" s="19">
        <v>0</v>
      </c>
      <c r="U751" s="19">
        <v>0</v>
      </c>
      <c r="V751" s="20">
        <v>1</v>
      </c>
      <c r="W751" s="20">
        <v>0</v>
      </c>
      <c r="Z751" s="15">
        <v>101</v>
      </c>
      <c r="AD751" s="1">
        <v>0.75666666666666604</v>
      </c>
      <c r="AE751" s="22" t="s">
        <v>78</v>
      </c>
      <c r="AF751" s="22"/>
    </row>
    <row r="752" spans="1:32" x14ac:dyDescent="0.2">
      <c r="A752" s="1">
        <v>934</v>
      </c>
      <c r="D752" s="1" t="s">
        <v>4</v>
      </c>
      <c r="E752" s="1" t="s">
        <v>25</v>
      </c>
      <c r="F752" s="15">
        <v>3.5</v>
      </c>
      <c r="G752" s="15">
        <v>0</v>
      </c>
      <c r="H752" s="15">
        <v>8</v>
      </c>
      <c r="I752" s="1">
        <f t="shared" si="48"/>
        <v>3.5</v>
      </c>
      <c r="O752" s="18">
        <v>21</v>
      </c>
      <c r="Q752" s="66" t="s">
        <v>1</v>
      </c>
      <c r="R752" s="20" t="str">
        <f t="shared" si="47"/>
        <v>inclined</v>
      </c>
      <c r="S752" s="19">
        <v>-0.50226586100000004</v>
      </c>
      <c r="T752" s="19">
        <v>0</v>
      </c>
      <c r="U752" s="19">
        <v>0</v>
      </c>
      <c r="V752" s="20">
        <v>1</v>
      </c>
      <c r="W752" s="20">
        <v>0</v>
      </c>
      <c r="Z752" s="15">
        <v>101</v>
      </c>
      <c r="AD752" s="1">
        <v>0.81</v>
      </c>
      <c r="AE752" s="22" t="s">
        <v>78</v>
      </c>
      <c r="AF752" s="22"/>
    </row>
    <row r="753" spans="1:32" x14ac:dyDescent="0.2">
      <c r="A753" s="1">
        <v>935</v>
      </c>
      <c r="D753" s="1" t="s">
        <v>4</v>
      </c>
      <c r="E753" s="1" t="s">
        <v>25</v>
      </c>
      <c r="F753" s="15">
        <v>3.5</v>
      </c>
      <c r="G753" s="15">
        <v>0</v>
      </c>
      <c r="H753" s="15">
        <v>8</v>
      </c>
      <c r="I753" s="1">
        <f t="shared" si="48"/>
        <v>3.5</v>
      </c>
      <c r="O753" s="18">
        <v>21</v>
      </c>
      <c r="Q753" s="66" t="s">
        <v>1</v>
      </c>
      <c r="R753" s="20" t="str">
        <f t="shared" si="47"/>
        <v>inclined</v>
      </c>
      <c r="S753" s="19">
        <v>-0.75075528700000005</v>
      </c>
      <c r="T753" s="19">
        <v>0</v>
      </c>
      <c r="U753" s="19">
        <v>0</v>
      </c>
      <c r="V753" s="20">
        <v>1</v>
      </c>
      <c r="W753" s="20">
        <v>0</v>
      </c>
      <c r="Z753" s="15">
        <v>101</v>
      </c>
      <c r="AD753" s="1">
        <v>0.76666666666666605</v>
      </c>
      <c r="AE753" s="22" t="s">
        <v>78</v>
      </c>
      <c r="AF753" s="22"/>
    </row>
    <row r="754" spans="1:32" x14ac:dyDescent="0.2">
      <c r="A754" s="1">
        <v>936</v>
      </c>
      <c r="D754" s="1" t="s">
        <v>4</v>
      </c>
      <c r="E754" s="1" t="s">
        <v>25</v>
      </c>
      <c r="F754" s="15">
        <v>3.5</v>
      </c>
      <c r="G754" s="15">
        <v>0</v>
      </c>
      <c r="H754" s="15">
        <v>8</v>
      </c>
      <c r="I754" s="1">
        <f t="shared" si="48"/>
        <v>3.5</v>
      </c>
      <c r="O754" s="18">
        <v>21</v>
      </c>
      <c r="Q754" s="66" t="s">
        <v>1</v>
      </c>
      <c r="R754" s="20" t="str">
        <f t="shared" si="47"/>
        <v>inclined</v>
      </c>
      <c r="S754" s="19">
        <v>-0.99924471299999995</v>
      </c>
      <c r="T754" s="19">
        <v>0</v>
      </c>
      <c r="U754" s="19">
        <v>0</v>
      </c>
      <c r="V754" s="20">
        <v>1</v>
      </c>
      <c r="W754" s="20">
        <v>0</v>
      </c>
      <c r="Z754" s="15">
        <v>101</v>
      </c>
      <c r="AD754" s="1">
        <v>0.70166666666666599</v>
      </c>
      <c r="AE754" s="22" t="s">
        <v>78</v>
      </c>
      <c r="AF754" s="22"/>
    </row>
    <row r="755" spans="1:32" x14ac:dyDescent="0.2">
      <c r="A755" s="1">
        <v>937</v>
      </c>
      <c r="D755" s="1" t="s">
        <v>4</v>
      </c>
      <c r="E755" s="1" t="s">
        <v>25</v>
      </c>
      <c r="F755" s="15">
        <v>3.5</v>
      </c>
      <c r="G755" s="15">
        <v>0</v>
      </c>
      <c r="H755" s="15">
        <v>8</v>
      </c>
      <c r="I755" s="1">
        <f t="shared" si="48"/>
        <v>3.5</v>
      </c>
      <c r="O755" s="18">
        <v>21</v>
      </c>
      <c r="Q755" s="65" t="s">
        <v>1</v>
      </c>
      <c r="R755" s="20" t="str">
        <f t="shared" si="47"/>
        <v>inclined</v>
      </c>
      <c r="S755" s="19">
        <v>-1.2477341389999999</v>
      </c>
      <c r="T755" s="19">
        <v>0</v>
      </c>
      <c r="U755" s="19">
        <v>0</v>
      </c>
      <c r="V755" s="20">
        <v>1</v>
      </c>
      <c r="W755" s="20">
        <v>0</v>
      </c>
      <c r="Z755" s="15">
        <v>101</v>
      </c>
      <c r="AD755" s="1">
        <v>0.68166666666666598</v>
      </c>
      <c r="AE755" s="22" t="s">
        <v>78</v>
      </c>
      <c r="AF755" s="22"/>
    </row>
    <row r="756" spans="1:32" x14ac:dyDescent="0.2">
      <c r="A756" s="1">
        <v>938</v>
      </c>
      <c r="D756" s="1" t="s">
        <v>4</v>
      </c>
      <c r="E756" s="1" t="s">
        <v>25</v>
      </c>
      <c r="F756" s="15">
        <v>3.5</v>
      </c>
      <c r="G756" s="15">
        <v>0</v>
      </c>
      <c r="H756" s="15">
        <v>8</v>
      </c>
      <c r="I756" s="1">
        <f t="shared" si="48"/>
        <v>3.5</v>
      </c>
      <c r="O756" s="18">
        <v>21</v>
      </c>
      <c r="Q756" s="66" t="s">
        <v>1</v>
      </c>
      <c r="R756" s="20" t="str">
        <f t="shared" si="47"/>
        <v>inclined</v>
      </c>
      <c r="S756" s="19">
        <v>-1.5015105740000001</v>
      </c>
      <c r="T756" s="19">
        <v>0</v>
      </c>
      <c r="U756" s="19">
        <v>0</v>
      </c>
      <c r="V756" s="20">
        <v>1</v>
      </c>
      <c r="W756" s="20">
        <v>0</v>
      </c>
      <c r="Z756" s="15">
        <v>101</v>
      </c>
      <c r="AD756" s="1">
        <v>0.55833333333333302</v>
      </c>
      <c r="AE756" s="22" t="s">
        <v>78</v>
      </c>
      <c r="AF756" s="22"/>
    </row>
    <row r="757" spans="1:32" x14ac:dyDescent="0.2">
      <c r="A757" s="1">
        <v>939</v>
      </c>
      <c r="D757" s="1" t="s">
        <v>4</v>
      </c>
      <c r="E757" s="1" t="s">
        <v>25</v>
      </c>
      <c r="F757" s="15">
        <v>3.5</v>
      </c>
      <c r="G757" s="15">
        <v>0</v>
      </c>
      <c r="H757" s="15">
        <v>8</v>
      </c>
      <c r="I757" s="1">
        <f t="shared" si="48"/>
        <v>3.5</v>
      </c>
      <c r="O757" s="18">
        <v>21</v>
      </c>
      <c r="Q757" s="66" t="s">
        <v>1</v>
      </c>
      <c r="R757" s="20" t="str">
        <f t="shared" si="47"/>
        <v>inclined</v>
      </c>
      <c r="S757" s="19">
        <v>-1.697129909</v>
      </c>
      <c r="T757" s="19">
        <v>0</v>
      </c>
      <c r="U757" s="19">
        <v>0</v>
      </c>
      <c r="V757" s="20">
        <v>1</v>
      </c>
      <c r="W757" s="20">
        <v>0</v>
      </c>
      <c r="Z757" s="15">
        <v>101</v>
      </c>
      <c r="AD757" s="1">
        <v>0.46833333333333299</v>
      </c>
      <c r="AE757" s="22" t="s">
        <v>78</v>
      </c>
      <c r="AF757" s="22"/>
    </row>
    <row r="758" spans="1:32" x14ac:dyDescent="0.2">
      <c r="A758" s="1">
        <v>940</v>
      </c>
      <c r="D758" s="1" t="s">
        <v>4</v>
      </c>
      <c r="E758" s="1" t="s">
        <v>25</v>
      </c>
      <c r="F758" s="15">
        <v>3.5</v>
      </c>
      <c r="G758" s="15">
        <v>0</v>
      </c>
      <c r="H758" s="15">
        <v>8</v>
      </c>
      <c r="I758" s="1">
        <f t="shared" si="48"/>
        <v>3.5</v>
      </c>
      <c r="O758" s="18">
        <v>21</v>
      </c>
      <c r="Q758" s="66" t="s">
        <v>1</v>
      </c>
      <c r="R758" s="20" t="str">
        <f t="shared" si="47"/>
        <v>inclined</v>
      </c>
      <c r="S758" s="19">
        <v>-1.845166163</v>
      </c>
      <c r="T758" s="19">
        <v>0</v>
      </c>
      <c r="U758" s="19">
        <v>0</v>
      </c>
      <c r="V758" s="20">
        <v>1</v>
      </c>
      <c r="W758" s="20">
        <v>0</v>
      </c>
      <c r="Z758" s="15">
        <v>101</v>
      </c>
      <c r="AD758" s="1">
        <v>0.40166666666666601</v>
      </c>
      <c r="AE758" s="22" t="s">
        <v>78</v>
      </c>
      <c r="AF758" s="22"/>
    </row>
    <row r="759" spans="1:32" x14ac:dyDescent="0.2">
      <c r="A759" s="1">
        <v>941</v>
      </c>
      <c r="D759" s="1" t="s">
        <v>5</v>
      </c>
      <c r="E759" s="1" t="s">
        <v>25</v>
      </c>
      <c r="F759" s="15">
        <v>5.5</v>
      </c>
      <c r="G759" s="15">
        <v>5</v>
      </c>
      <c r="H759" s="15">
        <v>9</v>
      </c>
      <c r="I759" s="1">
        <f t="shared" si="48"/>
        <v>5.5</v>
      </c>
      <c r="O759" s="18">
        <v>21</v>
      </c>
      <c r="Q759" s="66" t="s">
        <v>1</v>
      </c>
      <c r="R759" s="20" t="str">
        <f t="shared" si="47"/>
        <v>inclined</v>
      </c>
      <c r="S759" s="19">
        <v>5.2870090599999994E-3</v>
      </c>
      <c r="T759" s="19">
        <v>0</v>
      </c>
      <c r="U759" s="19">
        <v>0</v>
      </c>
      <c r="V759" s="20">
        <v>1</v>
      </c>
      <c r="W759" s="20">
        <v>0</v>
      </c>
      <c r="Z759" s="15">
        <v>101</v>
      </c>
      <c r="AD759" s="1">
        <v>0.745</v>
      </c>
      <c r="AE759" s="22" t="s">
        <v>78</v>
      </c>
      <c r="AF759" s="22"/>
    </row>
    <row r="760" spans="1:32" x14ac:dyDescent="0.2">
      <c r="A760" s="1">
        <v>942</v>
      </c>
      <c r="D760" s="1" t="s">
        <v>5</v>
      </c>
      <c r="E760" s="1" t="s">
        <v>25</v>
      </c>
      <c r="F760" s="15">
        <v>5.5</v>
      </c>
      <c r="G760" s="15">
        <v>5</v>
      </c>
      <c r="H760" s="15">
        <v>9</v>
      </c>
      <c r="I760" s="1">
        <f t="shared" si="48"/>
        <v>5.5</v>
      </c>
      <c r="O760" s="18">
        <v>21</v>
      </c>
      <c r="Q760" s="66" t="s">
        <v>1</v>
      </c>
      <c r="R760" s="20" t="str">
        <f t="shared" si="47"/>
        <v>inclined</v>
      </c>
      <c r="S760" s="19">
        <v>-3.7009063439999997E-2</v>
      </c>
      <c r="T760" s="19">
        <v>0</v>
      </c>
      <c r="U760" s="19">
        <v>0</v>
      </c>
      <c r="V760" s="20">
        <v>1</v>
      </c>
      <c r="W760" s="20">
        <v>0</v>
      </c>
      <c r="Z760" s="15">
        <v>101</v>
      </c>
      <c r="AD760" s="1">
        <v>0.74666666666666603</v>
      </c>
      <c r="AE760" s="22" t="s">
        <v>78</v>
      </c>
      <c r="AF760" s="22"/>
    </row>
    <row r="761" spans="1:32" x14ac:dyDescent="0.2">
      <c r="A761" s="1">
        <v>943</v>
      </c>
      <c r="D761" s="1" t="s">
        <v>5</v>
      </c>
      <c r="E761" s="1" t="s">
        <v>25</v>
      </c>
      <c r="F761" s="15">
        <v>5.5</v>
      </c>
      <c r="G761" s="15">
        <v>5</v>
      </c>
      <c r="H761" s="15">
        <v>9</v>
      </c>
      <c r="I761" s="1">
        <f t="shared" si="48"/>
        <v>5.5</v>
      </c>
      <c r="O761" s="18">
        <v>21</v>
      </c>
      <c r="Q761" s="65" t="s">
        <v>1</v>
      </c>
      <c r="R761" s="20" t="str">
        <f t="shared" si="47"/>
        <v>inclined</v>
      </c>
      <c r="S761" s="19">
        <v>-0.24848942600000001</v>
      </c>
      <c r="T761" s="19">
        <v>0</v>
      </c>
      <c r="U761" s="19">
        <v>0</v>
      </c>
      <c r="V761" s="20">
        <v>1</v>
      </c>
      <c r="W761" s="20">
        <v>0</v>
      </c>
      <c r="Z761" s="15">
        <v>101</v>
      </c>
      <c r="AD761" s="1">
        <v>0.73499999999999999</v>
      </c>
      <c r="AE761" s="22" t="s">
        <v>78</v>
      </c>
      <c r="AF761" s="22"/>
    </row>
    <row r="762" spans="1:32" x14ac:dyDescent="0.2">
      <c r="A762" s="1">
        <v>944</v>
      </c>
      <c r="D762" s="1" t="s">
        <v>5</v>
      </c>
      <c r="E762" s="1" t="s">
        <v>25</v>
      </c>
      <c r="F762" s="15">
        <v>5.5</v>
      </c>
      <c r="G762" s="15">
        <v>5</v>
      </c>
      <c r="H762" s="15">
        <v>9</v>
      </c>
      <c r="I762" s="1">
        <f t="shared" si="48"/>
        <v>5.5</v>
      </c>
      <c r="O762" s="18">
        <v>21</v>
      </c>
      <c r="Q762" s="66" t="s">
        <v>1</v>
      </c>
      <c r="R762" s="20" t="str">
        <f t="shared" si="47"/>
        <v>inclined</v>
      </c>
      <c r="S762" s="19">
        <v>-0.49697885200000003</v>
      </c>
      <c r="T762" s="19">
        <v>0</v>
      </c>
      <c r="U762" s="19">
        <v>0</v>
      </c>
      <c r="V762" s="20">
        <v>1</v>
      </c>
      <c r="W762" s="20">
        <v>0</v>
      </c>
      <c r="Z762" s="15">
        <v>101</v>
      </c>
      <c r="AD762" s="1">
        <v>0.67500000000000004</v>
      </c>
      <c r="AE762" s="22" t="s">
        <v>78</v>
      </c>
      <c r="AF762" s="22"/>
    </row>
    <row r="763" spans="1:32" x14ac:dyDescent="0.2">
      <c r="A763" s="1">
        <v>945</v>
      </c>
      <c r="D763" s="1" t="s">
        <v>5</v>
      </c>
      <c r="E763" s="1" t="s">
        <v>25</v>
      </c>
      <c r="F763" s="15">
        <v>5.5</v>
      </c>
      <c r="G763" s="15">
        <v>5</v>
      </c>
      <c r="H763" s="15">
        <v>9</v>
      </c>
      <c r="I763" s="1">
        <f t="shared" si="48"/>
        <v>5.5</v>
      </c>
      <c r="O763" s="18">
        <v>21</v>
      </c>
      <c r="Q763" s="66" t="s">
        <v>1</v>
      </c>
      <c r="R763" s="20" t="str">
        <f t="shared" si="47"/>
        <v>inclined</v>
      </c>
      <c r="S763" s="19">
        <v>-0.75075528700000005</v>
      </c>
      <c r="T763" s="19">
        <v>0</v>
      </c>
      <c r="U763" s="19">
        <v>0</v>
      </c>
      <c r="V763" s="20">
        <v>1</v>
      </c>
      <c r="W763" s="20">
        <v>0</v>
      </c>
      <c r="Z763" s="15">
        <v>101</v>
      </c>
      <c r="AD763" s="1">
        <v>0.64166666666666605</v>
      </c>
      <c r="AE763" s="22" t="s">
        <v>78</v>
      </c>
      <c r="AF763" s="22"/>
    </row>
    <row r="764" spans="1:32" x14ac:dyDescent="0.2">
      <c r="A764" s="1">
        <v>946</v>
      </c>
      <c r="D764" s="1" t="s">
        <v>5</v>
      </c>
      <c r="E764" s="1" t="s">
        <v>25</v>
      </c>
      <c r="F764" s="15">
        <v>5.5</v>
      </c>
      <c r="G764" s="15">
        <v>5</v>
      </c>
      <c r="H764" s="15">
        <v>9</v>
      </c>
      <c r="I764" s="1">
        <f t="shared" si="48"/>
        <v>5.5</v>
      </c>
      <c r="O764" s="18">
        <v>21</v>
      </c>
      <c r="Q764" s="66" t="s">
        <v>1</v>
      </c>
      <c r="R764" s="20" t="str">
        <f t="shared" si="47"/>
        <v>inclined</v>
      </c>
      <c r="S764" s="19">
        <v>-0.99924471299999995</v>
      </c>
      <c r="T764" s="19">
        <v>0</v>
      </c>
      <c r="U764" s="19">
        <v>0</v>
      </c>
      <c r="V764" s="20">
        <v>1</v>
      </c>
      <c r="W764" s="20">
        <v>0</v>
      </c>
      <c r="Z764" s="15">
        <v>101</v>
      </c>
      <c r="AD764" s="1">
        <v>0.57499999999999996</v>
      </c>
      <c r="AE764" s="22" t="s">
        <v>78</v>
      </c>
      <c r="AF764" s="22"/>
    </row>
    <row r="765" spans="1:32" x14ac:dyDescent="0.2">
      <c r="A765" s="1">
        <v>947</v>
      </c>
      <c r="D765" s="1" t="s">
        <v>5</v>
      </c>
      <c r="E765" s="1" t="s">
        <v>25</v>
      </c>
      <c r="F765" s="15">
        <v>5.5</v>
      </c>
      <c r="G765" s="15">
        <v>5</v>
      </c>
      <c r="H765" s="15">
        <v>9</v>
      </c>
      <c r="I765" s="1">
        <f t="shared" si="48"/>
        <v>5.5</v>
      </c>
      <c r="O765" s="18">
        <v>21</v>
      </c>
      <c r="Q765" s="66" t="s">
        <v>1</v>
      </c>
      <c r="R765" s="20" t="str">
        <f t="shared" si="47"/>
        <v>inclined</v>
      </c>
      <c r="S765" s="19">
        <v>-1.24244713</v>
      </c>
      <c r="T765" s="19">
        <v>0</v>
      </c>
      <c r="U765" s="19">
        <v>0</v>
      </c>
      <c r="V765" s="20">
        <v>1</v>
      </c>
      <c r="W765" s="20">
        <v>0</v>
      </c>
      <c r="Z765" s="15">
        <v>101</v>
      </c>
      <c r="AD765" s="1">
        <v>0.45166666666666599</v>
      </c>
      <c r="AE765" s="22" t="s">
        <v>78</v>
      </c>
      <c r="AF765" s="22"/>
    </row>
    <row r="766" spans="1:32" x14ac:dyDescent="0.2">
      <c r="A766" s="1">
        <v>948</v>
      </c>
      <c r="D766" s="1" t="s">
        <v>5</v>
      </c>
      <c r="E766" s="1" t="s">
        <v>25</v>
      </c>
      <c r="F766" s="15">
        <v>5.5</v>
      </c>
      <c r="G766" s="15">
        <v>5</v>
      </c>
      <c r="H766" s="15">
        <v>9</v>
      </c>
      <c r="I766" s="1">
        <f t="shared" si="48"/>
        <v>5.5</v>
      </c>
      <c r="O766" s="18">
        <v>21</v>
      </c>
      <c r="Q766" s="66" t="s">
        <v>1</v>
      </c>
      <c r="R766" s="20" t="str">
        <f t="shared" si="47"/>
        <v>inclined</v>
      </c>
      <c r="S766" s="19">
        <v>-1.496223565</v>
      </c>
      <c r="T766" s="19">
        <v>0</v>
      </c>
      <c r="U766" s="19">
        <v>0</v>
      </c>
      <c r="V766" s="20">
        <v>1</v>
      </c>
      <c r="W766" s="20">
        <v>0</v>
      </c>
      <c r="Z766" s="15">
        <v>101</v>
      </c>
      <c r="AD766" s="1">
        <v>0.38666666666666599</v>
      </c>
      <c r="AE766" s="22" t="s">
        <v>78</v>
      </c>
      <c r="AF766" s="22"/>
    </row>
    <row r="767" spans="1:32" x14ac:dyDescent="0.2">
      <c r="A767" s="1">
        <v>949</v>
      </c>
      <c r="D767" s="1" t="s">
        <v>5</v>
      </c>
      <c r="E767" s="1" t="s">
        <v>25</v>
      </c>
      <c r="F767" s="15">
        <v>5.5</v>
      </c>
      <c r="G767" s="15">
        <v>5</v>
      </c>
      <c r="H767" s="15">
        <v>9</v>
      </c>
      <c r="I767" s="1">
        <f t="shared" si="48"/>
        <v>5.5</v>
      </c>
      <c r="O767" s="18">
        <v>21</v>
      </c>
      <c r="Q767" s="65" t="s">
        <v>1</v>
      </c>
      <c r="R767" s="20" t="str">
        <f t="shared" si="47"/>
        <v>inclined</v>
      </c>
      <c r="S767" s="19">
        <v>-1.993202417</v>
      </c>
      <c r="T767" s="19">
        <v>0</v>
      </c>
      <c r="U767" s="19">
        <v>0</v>
      </c>
      <c r="V767" s="20">
        <v>1</v>
      </c>
      <c r="W767" s="20">
        <v>0</v>
      </c>
      <c r="Z767" s="15">
        <v>101</v>
      </c>
      <c r="AD767" s="1">
        <v>0.245</v>
      </c>
      <c r="AE767" s="22" t="s">
        <v>78</v>
      </c>
      <c r="AF767" s="22"/>
    </row>
    <row r="768" spans="1:32" x14ac:dyDescent="0.2">
      <c r="A768" s="1">
        <v>950</v>
      </c>
      <c r="D768" s="1" t="s">
        <v>5</v>
      </c>
      <c r="E768" s="1" t="s">
        <v>25</v>
      </c>
      <c r="F768" s="15">
        <v>5.5</v>
      </c>
      <c r="G768" s="15">
        <v>5</v>
      </c>
      <c r="H768" s="15">
        <v>9</v>
      </c>
      <c r="I768" s="1">
        <f t="shared" si="48"/>
        <v>5.5</v>
      </c>
      <c r="O768" s="18">
        <v>21</v>
      </c>
      <c r="Q768" s="66" t="s">
        <v>1</v>
      </c>
      <c r="R768" s="20" t="str">
        <f t="shared" si="47"/>
        <v>inclined</v>
      </c>
      <c r="S768" s="19">
        <v>-2.4954682779999997</v>
      </c>
      <c r="T768" s="19">
        <v>0</v>
      </c>
      <c r="U768" s="19">
        <v>0</v>
      </c>
      <c r="V768" s="20">
        <v>1</v>
      </c>
      <c r="W768" s="20">
        <v>0</v>
      </c>
      <c r="Z768" s="15">
        <v>101</v>
      </c>
      <c r="AD768" s="1">
        <v>0.22</v>
      </c>
      <c r="AE768" s="22" t="s">
        <v>78</v>
      </c>
      <c r="AF768" s="22"/>
    </row>
    <row r="769" spans="1:32" x14ac:dyDescent="0.2">
      <c r="A769" s="1">
        <v>951</v>
      </c>
      <c r="D769" s="1" t="s">
        <v>5</v>
      </c>
      <c r="E769" s="1" t="s">
        <v>25</v>
      </c>
      <c r="F769" s="15">
        <v>5.5</v>
      </c>
      <c r="G769" s="15">
        <v>5</v>
      </c>
      <c r="H769" s="15">
        <v>9</v>
      </c>
      <c r="I769" s="1">
        <f t="shared" si="48"/>
        <v>5.5</v>
      </c>
      <c r="O769" s="18">
        <v>21</v>
      </c>
      <c r="Q769" s="66" t="s">
        <v>1</v>
      </c>
      <c r="R769" s="20" t="str">
        <f t="shared" si="47"/>
        <v>inclined</v>
      </c>
      <c r="S769" s="19">
        <v>-2.749244713</v>
      </c>
      <c r="T769" s="19">
        <v>0</v>
      </c>
      <c r="U769" s="19">
        <v>0</v>
      </c>
      <c r="V769" s="20">
        <v>1</v>
      </c>
      <c r="W769" s="20">
        <v>0</v>
      </c>
      <c r="Z769" s="15">
        <v>101</v>
      </c>
      <c r="AD769" s="1">
        <v>0.20499999999999999</v>
      </c>
      <c r="AE769" s="22" t="s">
        <v>78</v>
      </c>
      <c r="AF769" s="22"/>
    </row>
    <row r="770" spans="1:32" x14ac:dyDescent="0.2">
      <c r="A770" s="1">
        <v>952</v>
      </c>
      <c r="D770" s="1" t="s">
        <v>5</v>
      </c>
      <c r="E770" s="1" t="s">
        <v>25</v>
      </c>
      <c r="F770" s="15">
        <v>3.5</v>
      </c>
      <c r="G770" s="15">
        <v>3.15</v>
      </c>
      <c r="H770" s="15">
        <v>8</v>
      </c>
      <c r="I770" s="1">
        <f t="shared" si="48"/>
        <v>3.5</v>
      </c>
      <c r="O770" s="18">
        <v>21</v>
      </c>
      <c r="Q770" s="66" t="s">
        <v>1</v>
      </c>
      <c r="R770" s="20" t="str">
        <f t="shared" si="47"/>
        <v>inclined</v>
      </c>
      <c r="S770" s="19">
        <v>5.2870090599999994E-3</v>
      </c>
      <c r="T770" s="19">
        <v>0</v>
      </c>
      <c r="U770" s="19">
        <v>0</v>
      </c>
      <c r="V770" s="20">
        <v>1</v>
      </c>
      <c r="W770" s="20">
        <v>0</v>
      </c>
      <c r="Z770" s="15">
        <v>101</v>
      </c>
      <c r="AD770" s="1">
        <v>0.87166666666666603</v>
      </c>
      <c r="AE770" s="22" t="s">
        <v>78</v>
      </c>
      <c r="AF770" s="22"/>
    </row>
    <row r="771" spans="1:32" x14ac:dyDescent="0.2">
      <c r="A771" s="1">
        <v>953</v>
      </c>
      <c r="D771" s="1" t="s">
        <v>5</v>
      </c>
      <c r="E771" s="1" t="s">
        <v>25</v>
      </c>
      <c r="F771" s="15">
        <v>3.5</v>
      </c>
      <c r="G771" s="15">
        <v>3.15</v>
      </c>
      <c r="H771" s="15">
        <v>8</v>
      </c>
      <c r="I771" s="1">
        <f t="shared" si="48"/>
        <v>3.5</v>
      </c>
      <c r="O771" s="18">
        <v>21</v>
      </c>
      <c r="Q771" s="66" t="s">
        <v>1</v>
      </c>
      <c r="R771" s="20" t="str">
        <f t="shared" si="47"/>
        <v>inclined</v>
      </c>
      <c r="S771" s="19">
        <v>-3.7009063439999997E-2</v>
      </c>
      <c r="T771" s="19">
        <v>0</v>
      </c>
      <c r="U771" s="19">
        <v>0</v>
      </c>
      <c r="V771" s="20">
        <v>1</v>
      </c>
      <c r="W771" s="20">
        <v>0</v>
      </c>
      <c r="Z771" s="15">
        <v>101</v>
      </c>
      <c r="AD771" s="1">
        <v>0.87</v>
      </c>
      <c r="AE771" s="22" t="s">
        <v>78</v>
      </c>
      <c r="AF771" s="22"/>
    </row>
    <row r="772" spans="1:32" x14ac:dyDescent="0.2">
      <c r="A772" s="1">
        <v>954</v>
      </c>
      <c r="D772" s="1" t="s">
        <v>5</v>
      </c>
      <c r="E772" s="1" t="s">
        <v>25</v>
      </c>
      <c r="F772" s="15">
        <v>3.5</v>
      </c>
      <c r="G772" s="15">
        <v>3.15</v>
      </c>
      <c r="H772" s="15">
        <v>8</v>
      </c>
      <c r="I772" s="1">
        <f t="shared" si="48"/>
        <v>3.5</v>
      </c>
      <c r="O772" s="18">
        <v>21</v>
      </c>
      <c r="Q772" s="66" t="s">
        <v>1</v>
      </c>
      <c r="R772" s="20" t="str">
        <f t="shared" ref="R772:R835" si="49">R771</f>
        <v>inclined</v>
      </c>
      <c r="S772" s="19">
        <v>-0.1004531722</v>
      </c>
      <c r="T772" s="19">
        <v>0</v>
      </c>
      <c r="U772" s="19">
        <v>0</v>
      </c>
      <c r="V772" s="20">
        <v>1</v>
      </c>
      <c r="W772" s="20">
        <v>0</v>
      </c>
      <c r="Z772" s="15">
        <v>101</v>
      </c>
      <c r="AD772" s="1">
        <v>0.87333333333333296</v>
      </c>
      <c r="AE772" s="22" t="s">
        <v>78</v>
      </c>
      <c r="AF772" s="22"/>
    </row>
    <row r="773" spans="1:32" x14ac:dyDescent="0.2">
      <c r="A773" s="1">
        <v>955</v>
      </c>
      <c r="D773" s="1" t="s">
        <v>5</v>
      </c>
      <c r="E773" s="1" t="s">
        <v>25</v>
      </c>
      <c r="F773" s="15">
        <v>3.5</v>
      </c>
      <c r="G773" s="15">
        <v>3.15</v>
      </c>
      <c r="H773" s="15">
        <v>8</v>
      </c>
      <c r="I773" s="1">
        <f t="shared" si="48"/>
        <v>3.5</v>
      </c>
      <c r="O773" s="18">
        <v>21</v>
      </c>
      <c r="Q773" s="65" t="s">
        <v>1</v>
      </c>
      <c r="R773" s="20" t="str">
        <f t="shared" si="49"/>
        <v>inclined</v>
      </c>
      <c r="S773" s="19">
        <v>-0.2432024169</v>
      </c>
      <c r="T773" s="19">
        <v>0</v>
      </c>
      <c r="U773" s="19">
        <v>0</v>
      </c>
      <c r="V773" s="20">
        <v>1</v>
      </c>
      <c r="W773" s="20">
        <v>0</v>
      </c>
      <c r="Z773" s="15">
        <v>101</v>
      </c>
      <c r="AD773" s="1">
        <v>0.85833333333333295</v>
      </c>
      <c r="AE773" s="22" t="s">
        <v>78</v>
      </c>
      <c r="AF773" s="22"/>
    </row>
    <row r="774" spans="1:32" x14ac:dyDescent="0.2">
      <c r="A774" s="1">
        <v>956</v>
      </c>
      <c r="D774" s="1" t="s">
        <v>5</v>
      </c>
      <c r="E774" s="1" t="s">
        <v>25</v>
      </c>
      <c r="F774" s="15">
        <v>3.5</v>
      </c>
      <c r="G774" s="15">
        <v>3.15</v>
      </c>
      <c r="H774" s="15">
        <v>8</v>
      </c>
      <c r="I774" s="1">
        <f t="shared" si="48"/>
        <v>3.5</v>
      </c>
      <c r="O774" s="18">
        <v>21</v>
      </c>
      <c r="Q774" s="66" t="s">
        <v>1</v>
      </c>
      <c r="R774" s="20" t="str">
        <f t="shared" si="49"/>
        <v>inclined</v>
      </c>
      <c r="S774" s="19">
        <v>-0.50226586100000004</v>
      </c>
      <c r="T774" s="19">
        <v>0</v>
      </c>
      <c r="U774" s="19">
        <v>0</v>
      </c>
      <c r="V774" s="20">
        <v>1</v>
      </c>
      <c r="W774" s="20">
        <v>0</v>
      </c>
      <c r="Z774" s="15">
        <v>101</v>
      </c>
      <c r="AD774" s="1">
        <v>0.80833333333333302</v>
      </c>
      <c r="AE774" s="22" t="s">
        <v>78</v>
      </c>
      <c r="AF774" s="22"/>
    </row>
    <row r="775" spans="1:32" x14ac:dyDescent="0.2">
      <c r="A775" s="1">
        <v>957</v>
      </c>
      <c r="D775" s="1" t="s">
        <v>5</v>
      </c>
      <c r="E775" s="1" t="s">
        <v>25</v>
      </c>
      <c r="F775" s="15">
        <v>3.5</v>
      </c>
      <c r="G775" s="15">
        <v>3.15</v>
      </c>
      <c r="H775" s="15">
        <v>8</v>
      </c>
      <c r="I775" s="1">
        <f t="shared" si="48"/>
        <v>3.5</v>
      </c>
      <c r="O775" s="18">
        <v>21</v>
      </c>
      <c r="Q775" s="66" t="s">
        <v>1</v>
      </c>
      <c r="R775" s="20" t="str">
        <f t="shared" si="49"/>
        <v>inclined</v>
      </c>
      <c r="S775" s="19">
        <v>-0.75075528700000005</v>
      </c>
      <c r="T775" s="19">
        <v>0</v>
      </c>
      <c r="U775" s="19">
        <v>0</v>
      </c>
      <c r="V775" s="20">
        <v>1</v>
      </c>
      <c r="W775" s="20">
        <v>0</v>
      </c>
      <c r="Z775" s="15">
        <v>101</v>
      </c>
      <c r="AD775" s="1">
        <v>0.76500000000000001</v>
      </c>
      <c r="AE775" s="22" t="s">
        <v>78</v>
      </c>
      <c r="AF775" s="22"/>
    </row>
    <row r="776" spans="1:32" x14ac:dyDescent="0.2">
      <c r="A776" s="1">
        <v>958</v>
      </c>
      <c r="D776" s="1" t="s">
        <v>5</v>
      </c>
      <c r="E776" s="1" t="s">
        <v>25</v>
      </c>
      <c r="F776" s="15">
        <v>3.5</v>
      </c>
      <c r="G776" s="15">
        <v>3.15</v>
      </c>
      <c r="H776" s="15">
        <v>8</v>
      </c>
      <c r="I776" s="1">
        <f t="shared" ref="I776:I818" si="50">F776</f>
        <v>3.5</v>
      </c>
      <c r="O776" s="18">
        <v>21</v>
      </c>
      <c r="Q776" s="66" t="s">
        <v>1</v>
      </c>
      <c r="R776" s="20" t="str">
        <f t="shared" si="49"/>
        <v>inclined</v>
      </c>
      <c r="S776" s="19">
        <v>-0.99924471299999995</v>
      </c>
      <c r="T776" s="19">
        <v>0</v>
      </c>
      <c r="U776" s="19">
        <v>0</v>
      </c>
      <c r="V776" s="20">
        <v>1</v>
      </c>
      <c r="W776" s="20">
        <v>0</v>
      </c>
      <c r="Z776" s="15">
        <v>101</v>
      </c>
      <c r="AD776" s="1">
        <v>0.62833333333333297</v>
      </c>
      <c r="AE776" s="22" t="s">
        <v>78</v>
      </c>
      <c r="AF776" s="22"/>
    </row>
    <row r="777" spans="1:32" x14ac:dyDescent="0.2">
      <c r="A777" s="1">
        <v>959</v>
      </c>
      <c r="D777" s="1" t="s">
        <v>5</v>
      </c>
      <c r="E777" s="1" t="s">
        <v>25</v>
      </c>
      <c r="F777" s="15">
        <v>3.5</v>
      </c>
      <c r="G777" s="15">
        <v>3.15</v>
      </c>
      <c r="H777" s="15">
        <v>8</v>
      </c>
      <c r="I777" s="1">
        <f t="shared" si="50"/>
        <v>3.5</v>
      </c>
      <c r="O777" s="18">
        <v>21</v>
      </c>
      <c r="Q777" s="66" t="s">
        <v>1</v>
      </c>
      <c r="R777" s="20" t="str">
        <f t="shared" si="49"/>
        <v>inclined</v>
      </c>
      <c r="S777" s="19">
        <v>-1.2477341389999999</v>
      </c>
      <c r="T777" s="19">
        <v>0</v>
      </c>
      <c r="U777" s="19">
        <v>0</v>
      </c>
      <c r="V777" s="20">
        <v>1</v>
      </c>
      <c r="W777" s="20">
        <v>0</v>
      </c>
      <c r="Z777" s="15">
        <v>101</v>
      </c>
      <c r="AD777" s="1">
        <v>0.495</v>
      </c>
      <c r="AE777" s="22" t="s">
        <v>78</v>
      </c>
      <c r="AF777" s="22"/>
    </row>
    <row r="778" spans="1:32" x14ac:dyDescent="0.2">
      <c r="A778" s="1">
        <v>960</v>
      </c>
      <c r="D778" s="1" t="s">
        <v>5</v>
      </c>
      <c r="E778" s="1" t="s">
        <v>25</v>
      </c>
      <c r="F778" s="15">
        <v>3.5</v>
      </c>
      <c r="G778" s="15">
        <v>3.15</v>
      </c>
      <c r="H778" s="15">
        <v>8</v>
      </c>
      <c r="I778" s="1">
        <f t="shared" si="50"/>
        <v>3.5</v>
      </c>
      <c r="O778" s="18">
        <v>21</v>
      </c>
      <c r="Q778" s="66" t="s">
        <v>1</v>
      </c>
      <c r="R778" s="20" t="str">
        <f t="shared" si="49"/>
        <v>inclined</v>
      </c>
      <c r="S778" s="19">
        <v>-1.496223565</v>
      </c>
      <c r="T778" s="19">
        <v>0</v>
      </c>
      <c r="U778" s="19">
        <v>0</v>
      </c>
      <c r="V778" s="20">
        <v>1</v>
      </c>
      <c r="W778" s="20">
        <v>0</v>
      </c>
      <c r="Z778" s="15">
        <v>101</v>
      </c>
      <c r="AD778" s="1">
        <v>0.34</v>
      </c>
      <c r="AE778" s="22" t="s">
        <v>78</v>
      </c>
      <c r="AF778" s="22"/>
    </row>
    <row r="779" spans="1:32" x14ac:dyDescent="0.2">
      <c r="A779" s="1">
        <v>961</v>
      </c>
      <c r="D779" s="1" t="s">
        <v>5</v>
      </c>
      <c r="E779" s="1" t="s">
        <v>25</v>
      </c>
      <c r="F779" s="15">
        <v>3.5</v>
      </c>
      <c r="G779" s="15">
        <v>3.15</v>
      </c>
      <c r="H779" s="15">
        <v>8</v>
      </c>
      <c r="I779" s="1">
        <f t="shared" si="50"/>
        <v>3.5</v>
      </c>
      <c r="O779" s="18">
        <v>21</v>
      </c>
      <c r="Q779" s="65" t="s">
        <v>1</v>
      </c>
      <c r="R779" s="20" t="str">
        <f t="shared" si="49"/>
        <v>inclined</v>
      </c>
      <c r="S779" s="19">
        <v>-1.993202417</v>
      </c>
      <c r="T779" s="19">
        <v>0</v>
      </c>
      <c r="U779" s="19">
        <v>0</v>
      </c>
      <c r="V779" s="20">
        <v>1</v>
      </c>
      <c r="W779" s="20">
        <v>0</v>
      </c>
      <c r="Z779" s="15">
        <v>101</v>
      </c>
      <c r="AD779" s="1">
        <v>0.19166666666666601</v>
      </c>
      <c r="AE779" s="22" t="s">
        <v>78</v>
      </c>
      <c r="AF779" s="22"/>
    </row>
    <row r="780" spans="1:32" x14ac:dyDescent="0.2">
      <c r="A780" s="1">
        <v>962</v>
      </c>
      <c r="D780" s="1" t="s">
        <v>5</v>
      </c>
      <c r="E780" s="1" t="s">
        <v>25</v>
      </c>
      <c r="F780" s="15">
        <v>3.5</v>
      </c>
      <c r="G780" s="15">
        <v>3.15</v>
      </c>
      <c r="H780" s="15">
        <v>8</v>
      </c>
      <c r="I780" s="1">
        <f t="shared" si="50"/>
        <v>3.5</v>
      </c>
      <c r="O780" s="18">
        <v>21</v>
      </c>
      <c r="Q780" s="66" t="s">
        <v>1</v>
      </c>
      <c r="R780" s="20" t="str">
        <f t="shared" si="49"/>
        <v>inclined</v>
      </c>
      <c r="S780" s="19">
        <v>-2.4901812689999998</v>
      </c>
      <c r="T780" s="19">
        <v>0</v>
      </c>
      <c r="U780" s="19">
        <v>0</v>
      </c>
      <c r="V780" s="20">
        <v>1</v>
      </c>
      <c r="W780" s="20">
        <v>0</v>
      </c>
      <c r="Z780" s="15">
        <v>101</v>
      </c>
      <c r="AD780" s="1">
        <v>0.171666666666666</v>
      </c>
      <c r="AE780" s="22" t="s">
        <v>78</v>
      </c>
      <c r="AF780" s="22"/>
    </row>
    <row r="781" spans="1:32" x14ac:dyDescent="0.2">
      <c r="A781" s="1">
        <v>963</v>
      </c>
      <c r="D781" s="1" t="s">
        <v>5</v>
      </c>
      <c r="E781" s="1" t="s">
        <v>25</v>
      </c>
      <c r="F781" s="15">
        <v>3.5</v>
      </c>
      <c r="G781" s="15">
        <v>3.15</v>
      </c>
      <c r="H781" s="15">
        <v>8</v>
      </c>
      <c r="I781" s="1">
        <f t="shared" si="50"/>
        <v>3.5</v>
      </c>
      <c r="O781" s="18">
        <v>21</v>
      </c>
      <c r="Q781" s="66" t="s">
        <v>1</v>
      </c>
      <c r="R781" s="20" t="str">
        <f t="shared" si="49"/>
        <v>inclined</v>
      </c>
      <c r="S781" s="19">
        <v>-2.7439577040000001</v>
      </c>
      <c r="T781" s="19">
        <v>0</v>
      </c>
      <c r="U781" s="19">
        <v>0</v>
      </c>
      <c r="V781" s="20">
        <v>1</v>
      </c>
      <c r="W781" s="20">
        <v>0</v>
      </c>
      <c r="Z781" s="15">
        <v>101</v>
      </c>
      <c r="AD781" s="1">
        <v>0.16666666666666599</v>
      </c>
      <c r="AE781" s="22" t="s">
        <v>78</v>
      </c>
      <c r="AF781" s="22"/>
    </row>
    <row r="782" spans="1:32" x14ac:dyDescent="0.2">
      <c r="A782" s="1">
        <v>964</v>
      </c>
      <c r="D782" s="1" t="s">
        <v>5</v>
      </c>
      <c r="E782" s="1" t="s">
        <v>25</v>
      </c>
      <c r="F782" s="15">
        <v>3.5</v>
      </c>
      <c r="G782" s="15">
        <v>3.15</v>
      </c>
      <c r="H782" s="15">
        <v>8</v>
      </c>
      <c r="I782" s="1">
        <f t="shared" si="50"/>
        <v>3.5</v>
      </c>
      <c r="O782" s="18">
        <v>21</v>
      </c>
      <c r="Q782" s="66" t="s">
        <v>1</v>
      </c>
      <c r="R782" s="20" t="str">
        <f t="shared" si="49"/>
        <v>inclined</v>
      </c>
      <c r="S782" s="19">
        <v>-2.99244713</v>
      </c>
      <c r="T782" s="19">
        <v>0</v>
      </c>
      <c r="U782" s="19">
        <v>0</v>
      </c>
      <c r="V782" s="20">
        <v>1</v>
      </c>
      <c r="W782" s="20">
        <v>0</v>
      </c>
      <c r="Z782" s="15">
        <v>101</v>
      </c>
      <c r="AD782" s="1">
        <v>0.17333333333333301</v>
      </c>
      <c r="AE782" s="22" t="s">
        <v>78</v>
      </c>
      <c r="AF782" s="22"/>
    </row>
    <row r="783" spans="1:32" s="4" customFormat="1" x14ac:dyDescent="0.2">
      <c r="A783" s="1">
        <v>965</v>
      </c>
      <c r="B783" s="52"/>
      <c r="D783" s="4" t="s">
        <v>5</v>
      </c>
      <c r="E783" s="4" t="s">
        <v>25</v>
      </c>
      <c r="F783" s="53">
        <v>3.5</v>
      </c>
      <c r="G783" s="53">
        <v>3.15</v>
      </c>
      <c r="H783" s="53">
        <v>8</v>
      </c>
      <c r="I783" s="4">
        <f t="shared" si="50"/>
        <v>3.5</v>
      </c>
      <c r="J783" s="54"/>
      <c r="K783" s="54"/>
      <c r="L783" s="54"/>
      <c r="M783" s="55"/>
      <c r="N783" s="56"/>
      <c r="O783" s="56">
        <v>21</v>
      </c>
      <c r="P783" s="57"/>
      <c r="Q783" s="66" t="s">
        <v>1</v>
      </c>
      <c r="R783" s="20" t="str">
        <f t="shared" si="49"/>
        <v>inclined</v>
      </c>
      <c r="S783" s="58">
        <v>-3.4894259820000002</v>
      </c>
      <c r="T783" s="58">
        <v>0</v>
      </c>
      <c r="U783" s="58">
        <v>0</v>
      </c>
      <c r="V783" s="59">
        <v>1</v>
      </c>
      <c r="W783" s="59">
        <v>0</v>
      </c>
      <c r="Y783" s="56"/>
      <c r="Z783" s="53">
        <v>101</v>
      </c>
      <c r="AA783" s="54"/>
      <c r="AB783" s="54"/>
      <c r="AC783" s="54"/>
      <c r="AD783" s="4">
        <v>0.16</v>
      </c>
      <c r="AE783" s="60" t="s">
        <v>78</v>
      </c>
      <c r="AF783" s="22"/>
    </row>
    <row r="784" spans="1:32" s="3" customFormat="1" x14ac:dyDescent="0.2">
      <c r="A784" s="1">
        <v>966</v>
      </c>
      <c r="B784" s="47"/>
      <c r="D784" s="3" t="s">
        <v>4</v>
      </c>
      <c r="E784" s="3" t="s">
        <v>25</v>
      </c>
      <c r="F784" s="34">
        <v>3.5</v>
      </c>
      <c r="G784" s="34">
        <v>0</v>
      </c>
      <c r="H784" s="34">
        <v>8</v>
      </c>
      <c r="I784" s="3">
        <f t="shared" si="50"/>
        <v>3.5</v>
      </c>
      <c r="J784" s="48"/>
      <c r="K784" s="48"/>
      <c r="L784" s="48"/>
      <c r="M784" s="49"/>
      <c r="N784" s="50"/>
      <c r="O784" s="50">
        <v>20</v>
      </c>
      <c r="P784" s="51"/>
      <c r="Q784" s="66" t="s">
        <v>1</v>
      </c>
      <c r="R784" s="20" t="s">
        <v>139</v>
      </c>
      <c r="S784" s="35">
        <v>-0.13924050630000001</v>
      </c>
      <c r="T784" s="35">
        <v>0</v>
      </c>
      <c r="U784" s="35">
        <v>0</v>
      </c>
      <c r="V784" s="36">
        <v>0</v>
      </c>
      <c r="W784" s="36">
        <v>-1</v>
      </c>
      <c r="Y784" s="50"/>
      <c r="Z784" s="34">
        <v>101</v>
      </c>
      <c r="AA784" s="48"/>
      <c r="AB784" s="48"/>
      <c r="AC784" s="48"/>
      <c r="AD784" s="3">
        <v>0.35017793594306001</v>
      </c>
      <c r="AE784" s="37" t="s">
        <v>79</v>
      </c>
      <c r="AF784" s="22"/>
    </row>
    <row r="785" spans="1:32" x14ac:dyDescent="0.2">
      <c r="A785" s="1">
        <v>967</v>
      </c>
      <c r="D785" s="1" t="s">
        <v>4</v>
      </c>
      <c r="E785" s="1" t="s">
        <v>25</v>
      </c>
      <c r="F785" s="15">
        <v>3.5</v>
      </c>
      <c r="G785" s="15">
        <v>0</v>
      </c>
      <c r="H785" s="15">
        <v>8</v>
      </c>
      <c r="I785" s="1">
        <f t="shared" si="50"/>
        <v>3.5</v>
      </c>
      <c r="O785" s="18">
        <v>20</v>
      </c>
      <c r="Q785" s="65" t="s">
        <v>1</v>
      </c>
      <c r="R785" s="20" t="str">
        <f t="shared" si="49"/>
        <v>horizontal</v>
      </c>
      <c r="S785" s="19">
        <v>-0.31898734179999999</v>
      </c>
      <c r="T785" s="19">
        <v>0</v>
      </c>
      <c r="U785" s="19">
        <v>0</v>
      </c>
      <c r="V785" s="20">
        <v>0</v>
      </c>
      <c r="W785" s="20">
        <v>-1</v>
      </c>
      <c r="Z785" s="15">
        <v>101</v>
      </c>
      <c r="AD785" s="1">
        <v>0.336298932384341</v>
      </c>
      <c r="AE785" s="22" t="s">
        <v>79</v>
      </c>
      <c r="AF785" s="22"/>
    </row>
    <row r="786" spans="1:32" x14ac:dyDescent="0.2">
      <c r="A786" s="1">
        <v>968</v>
      </c>
      <c r="D786" s="1" t="s">
        <v>4</v>
      </c>
      <c r="E786" s="1" t="s">
        <v>25</v>
      </c>
      <c r="F786" s="15">
        <v>3.5</v>
      </c>
      <c r="G786" s="15">
        <v>0</v>
      </c>
      <c r="H786" s="15">
        <v>8</v>
      </c>
      <c r="I786" s="1">
        <f t="shared" si="50"/>
        <v>3.5</v>
      </c>
      <c r="O786" s="18">
        <v>20</v>
      </c>
      <c r="Q786" s="66" t="s">
        <v>1</v>
      </c>
      <c r="R786" s="20" t="str">
        <f t="shared" si="49"/>
        <v>horizontal</v>
      </c>
      <c r="S786" s="19">
        <v>-0.53924050630000009</v>
      </c>
      <c r="T786" s="19">
        <v>0</v>
      </c>
      <c r="U786" s="19">
        <v>0</v>
      </c>
      <c r="V786" s="20">
        <v>0</v>
      </c>
      <c r="W786" s="20">
        <v>-1</v>
      </c>
      <c r="Z786" s="15">
        <v>101</v>
      </c>
      <c r="AD786" s="1">
        <v>0.32135231316725898</v>
      </c>
      <c r="AE786" s="22" t="s">
        <v>79</v>
      </c>
      <c r="AF786" s="22"/>
    </row>
    <row r="787" spans="1:32" x14ac:dyDescent="0.2">
      <c r="A787" s="1">
        <v>969</v>
      </c>
      <c r="D787" s="1" t="s">
        <v>4</v>
      </c>
      <c r="E787" s="1" t="s">
        <v>25</v>
      </c>
      <c r="F787" s="15">
        <v>3.5</v>
      </c>
      <c r="G787" s="15">
        <v>0</v>
      </c>
      <c r="H787" s="15">
        <v>8</v>
      </c>
      <c r="I787" s="1">
        <f t="shared" si="50"/>
        <v>3.5</v>
      </c>
      <c r="O787" s="18">
        <v>20</v>
      </c>
      <c r="Q787" s="66" t="s">
        <v>1</v>
      </c>
      <c r="R787" s="20" t="str">
        <f t="shared" si="49"/>
        <v>horizontal</v>
      </c>
      <c r="S787" s="19">
        <v>-0.75949367089999997</v>
      </c>
      <c r="T787" s="19">
        <v>0</v>
      </c>
      <c r="U787" s="19">
        <v>0</v>
      </c>
      <c r="V787" s="20">
        <v>0</v>
      </c>
      <c r="W787" s="20">
        <v>-1</v>
      </c>
      <c r="Z787" s="15">
        <v>101</v>
      </c>
      <c r="AD787" s="1">
        <v>0.29359430604982201</v>
      </c>
      <c r="AE787" s="22" t="s">
        <v>79</v>
      </c>
      <c r="AF787" s="22"/>
    </row>
    <row r="788" spans="1:32" x14ac:dyDescent="0.2">
      <c r="A788" s="1">
        <v>970</v>
      </c>
      <c r="D788" s="1" t="s">
        <v>4</v>
      </c>
      <c r="E788" s="1" t="s">
        <v>25</v>
      </c>
      <c r="F788" s="15">
        <v>3.5</v>
      </c>
      <c r="G788" s="15">
        <v>0</v>
      </c>
      <c r="H788" s="15">
        <v>8</v>
      </c>
      <c r="I788" s="1">
        <f t="shared" si="50"/>
        <v>3.5</v>
      </c>
      <c r="O788" s="18">
        <v>19</v>
      </c>
      <c r="Q788" s="66" t="s">
        <v>1</v>
      </c>
      <c r="R788" s="20" t="str">
        <f t="shared" si="49"/>
        <v>horizontal</v>
      </c>
      <c r="S788" s="19">
        <v>-0.13924050630000001</v>
      </c>
      <c r="T788" s="19">
        <v>0</v>
      </c>
      <c r="U788" s="19">
        <v>0</v>
      </c>
      <c r="V788" s="20">
        <v>0</v>
      </c>
      <c r="W788" s="20">
        <v>-1</v>
      </c>
      <c r="Z788" s="15">
        <v>101</v>
      </c>
      <c r="AD788" s="1">
        <v>0.33309608540925201</v>
      </c>
      <c r="AE788" s="22" t="s">
        <v>79</v>
      </c>
      <c r="AF788" s="22"/>
    </row>
    <row r="789" spans="1:32" x14ac:dyDescent="0.2">
      <c r="A789" s="1">
        <v>971</v>
      </c>
      <c r="D789" s="1" t="s">
        <v>4</v>
      </c>
      <c r="E789" s="1" t="s">
        <v>25</v>
      </c>
      <c r="F789" s="15">
        <v>3.5</v>
      </c>
      <c r="G789" s="15">
        <v>0</v>
      </c>
      <c r="H789" s="15">
        <v>8</v>
      </c>
      <c r="I789" s="1">
        <f t="shared" si="50"/>
        <v>3.5</v>
      </c>
      <c r="O789" s="18">
        <v>19</v>
      </c>
      <c r="Q789" s="66" t="s">
        <v>1</v>
      </c>
      <c r="R789" s="20" t="str">
        <f t="shared" si="49"/>
        <v>horizontal</v>
      </c>
      <c r="S789" s="19">
        <v>-0.31898734179999999</v>
      </c>
      <c r="T789" s="19">
        <v>0</v>
      </c>
      <c r="U789" s="19">
        <v>0</v>
      </c>
      <c r="V789" s="20">
        <v>0</v>
      </c>
      <c r="W789" s="20">
        <v>-1</v>
      </c>
      <c r="Z789" s="15">
        <v>101</v>
      </c>
      <c r="AD789" s="1">
        <v>0.32455516014234798</v>
      </c>
      <c r="AE789" s="22" t="s">
        <v>79</v>
      </c>
      <c r="AF789" s="22"/>
    </row>
    <row r="790" spans="1:32" x14ac:dyDescent="0.2">
      <c r="A790" s="1">
        <v>972</v>
      </c>
      <c r="D790" s="1" t="s">
        <v>5</v>
      </c>
      <c r="E790" s="1" t="s">
        <v>25</v>
      </c>
      <c r="F790" s="15">
        <v>3.5</v>
      </c>
      <c r="G790" s="15">
        <v>3.15</v>
      </c>
      <c r="H790" s="15">
        <v>8</v>
      </c>
      <c r="I790" s="1">
        <f t="shared" si="50"/>
        <v>3.5</v>
      </c>
      <c r="O790" s="18">
        <v>20</v>
      </c>
      <c r="Q790" s="66" t="s">
        <v>1</v>
      </c>
      <c r="R790" s="20" t="str">
        <f t="shared" si="49"/>
        <v>horizontal</v>
      </c>
      <c r="S790" s="19">
        <v>-0.13924050630000001</v>
      </c>
      <c r="T790" s="19">
        <v>0</v>
      </c>
      <c r="U790" s="19">
        <v>0</v>
      </c>
      <c r="V790" s="20">
        <v>0</v>
      </c>
      <c r="W790" s="20">
        <v>-1</v>
      </c>
      <c r="Z790" s="15">
        <v>101</v>
      </c>
      <c r="AD790" s="1">
        <v>0.24341637010676101</v>
      </c>
      <c r="AE790" s="22" t="s">
        <v>79</v>
      </c>
      <c r="AF790" s="22"/>
    </row>
    <row r="791" spans="1:32" x14ac:dyDescent="0.2">
      <c r="A791" s="1">
        <v>973</v>
      </c>
      <c r="D791" s="1" t="s">
        <v>5</v>
      </c>
      <c r="E791" s="1" t="s">
        <v>25</v>
      </c>
      <c r="F791" s="15">
        <v>3.5</v>
      </c>
      <c r="G791" s="15">
        <v>3.15</v>
      </c>
      <c r="H791" s="15">
        <v>8</v>
      </c>
      <c r="I791" s="1">
        <f t="shared" si="50"/>
        <v>3.5</v>
      </c>
      <c r="O791" s="18">
        <v>20</v>
      </c>
      <c r="Q791" s="65" t="s">
        <v>1</v>
      </c>
      <c r="R791" s="20" t="str">
        <f t="shared" si="49"/>
        <v>horizontal</v>
      </c>
      <c r="S791" s="19">
        <v>-0.31898734179999999</v>
      </c>
      <c r="T791" s="19">
        <v>0</v>
      </c>
      <c r="U791" s="19">
        <v>0</v>
      </c>
      <c r="V791" s="20">
        <v>0</v>
      </c>
      <c r="W791" s="20">
        <v>-1</v>
      </c>
      <c r="Z791" s="15">
        <v>101</v>
      </c>
      <c r="AD791" s="1">
        <v>0.21992882562277499</v>
      </c>
      <c r="AE791" s="22" t="s">
        <v>79</v>
      </c>
      <c r="AF791" s="22"/>
    </row>
    <row r="792" spans="1:32" x14ac:dyDescent="0.2">
      <c r="A792" s="1">
        <v>974</v>
      </c>
      <c r="D792" s="1" t="s">
        <v>5</v>
      </c>
      <c r="E792" s="1" t="s">
        <v>25</v>
      </c>
      <c r="F792" s="15">
        <v>3.5</v>
      </c>
      <c r="G792" s="15">
        <v>3.15</v>
      </c>
      <c r="H792" s="15">
        <v>8</v>
      </c>
      <c r="I792" s="1">
        <f t="shared" si="50"/>
        <v>3.5</v>
      </c>
      <c r="O792" s="18">
        <v>20</v>
      </c>
      <c r="Q792" s="66" t="s">
        <v>1</v>
      </c>
      <c r="R792" s="20" t="str">
        <f t="shared" si="49"/>
        <v>horizontal</v>
      </c>
      <c r="S792" s="19">
        <v>-0.53670886080000002</v>
      </c>
      <c r="T792" s="19">
        <v>0</v>
      </c>
      <c r="U792" s="19">
        <v>0</v>
      </c>
      <c r="V792" s="20">
        <v>0</v>
      </c>
      <c r="W792" s="20">
        <v>-1</v>
      </c>
      <c r="Z792" s="15">
        <v>101</v>
      </c>
      <c r="AD792" s="1">
        <v>0.19644128113879</v>
      </c>
      <c r="AE792" s="22" t="s">
        <v>79</v>
      </c>
      <c r="AF792" s="22"/>
    </row>
    <row r="793" spans="1:32" x14ac:dyDescent="0.2">
      <c r="A793" s="1">
        <v>975</v>
      </c>
      <c r="D793" s="1" t="s">
        <v>5</v>
      </c>
      <c r="E793" s="1" t="s">
        <v>25</v>
      </c>
      <c r="F793" s="15">
        <v>3.5</v>
      </c>
      <c r="G793" s="15">
        <v>3.15</v>
      </c>
      <c r="H793" s="15">
        <v>8</v>
      </c>
      <c r="I793" s="1">
        <f t="shared" si="50"/>
        <v>3.5</v>
      </c>
      <c r="O793" s="18">
        <v>20</v>
      </c>
      <c r="Q793" s="66" t="s">
        <v>1</v>
      </c>
      <c r="R793" s="20" t="str">
        <f t="shared" si="49"/>
        <v>horizontal</v>
      </c>
      <c r="S793" s="19">
        <v>-1</v>
      </c>
      <c r="T793" s="19">
        <v>0</v>
      </c>
      <c r="U793" s="19">
        <v>0</v>
      </c>
      <c r="V793" s="20">
        <v>0</v>
      </c>
      <c r="W793" s="20">
        <v>-1</v>
      </c>
      <c r="Z793" s="15">
        <v>101</v>
      </c>
      <c r="AD793" s="1">
        <v>0.107829181494661</v>
      </c>
      <c r="AE793" s="22" t="s">
        <v>79</v>
      </c>
      <c r="AF793" s="22"/>
    </row>
    <row r="794" spans="1:32" x14ac:dyDescent="0.2">
      <c r="A794" s="1">
        <v>976</v>
      </c>
      <c r="D794" s="1" t="s">
        <v>5</v>
      </c>
      <c r="E794" s="1" t="s">
        <v>25</v>
      </c>
      <c r="F794" s="15">
        <v>3.5</v>
      </c>
      <c r="G794" s="15">
        <v>3.15</v>
      </c>
      <c r="H794" s="15">
        <v>8</v>
      </c>
      <c r="I794" s="1">
        <f t="shared" si="50"/>
        <v>3.5</v>
      </c>
      <c r="O794" s="18">
        <v>19</v>
      </c>
      <c r="Q794" s="66" t="s">
        <v>1</v>
      </c>
      <c r="R794" s="20" t="str">
        <f t="shared" si="49"/>
        <v>horizontal</v>
      </c>
      <c r="S794" s="19">
        <v>-0.13924050630000001</v>
      </c>
      <c r="T794" s="19">
        <v>0</v>
      </c>
      <c r="U794" s="19">
        <v>0</v>
      </c>
      <c r="V794" s="20">
        <v>0</v>
      </c>
      <c r="W794" s="20">
        <v>-1</v>
      </c>
      <c r="Z794" s="15">
        <v>101</v>
      </c>
      <c r="AD794" s="1">
        <v>0.208185053380782</v>
      </c>
      <c r="AE794" s="22" t="s">
        <v>79</v>
      </c>
      <c r="AF794" s="22"/>
    </row>
    <row r="795" spans="1:32" x14ac:dyDescent="0.2">
      <c r="A795" s="1">
        <v>977</v>
      </c>
      <c r="D795" s="1" t="s">
        <v>5</v>
      </c>
      <c r="E795" s="1" t="s">
        <v>25</v>
      </c>
      <c r="F795" s="15">
        <v>3.5</v>
      </c>
      <c r="G795" s="15">
        <v>3.15</v>
      </c>
      <c r="H795" s="15">
        <v>8</v>
      </c>
      <c r="I795" s="1">
        <f t="shared" si="50"/>
        <v>3.5</v>
      </c>
      <c r="O795" s="18">
        <v>19</v>
      </c>
      <c r="Q795" s="66" t="s">
        <v>1</v>
      </c>
      <c r="R795" s="20" t="str">
        <f t="shared" si="49"/>
        <v>horizontal</v>
      </c>
      <c r="S795" s="19">
        <v>-0.31898734179999999</v>
      </c>
      <c r="T795" s="19">
        <v>0</v>
      </c>
      <c r="U795" s="19">
        <v>0</v>
      </c>
      <c r="V795" s="20">
        <v>0</v>
      </c>
      <c r="W795" s="20">
        <v>-1</v>
      </c>
      <c r="Z795" s="15">
        <v>101</v>
      </c>
      <c r="AD795" s="1">
        <v>0.177224199288256</v>
      </c>
      <c r="AE795" s="22" t="s">
        <v>79</v>
      </c>
      <c r="AF795" s="22"/>
    </row>
    <row r="796" spans="1:32" s="4" customFormat="1" x14ac:dyDescent="0.2">
      <c r="A796" s="1">
        <v>978</v>
      </c>
      <c r="B796" s="52"/>
      <c r="D796" s="4" t="s">
        <v>5</v>
      </c>
      <c r="E796" s="4" t="s">
        <v>25</v>
      </c>
      <c r="F796" s="53">
        <v>3.5</v>
      </c>
      <c r="G796" s="53">
        <v>3.15</v>
      </c>
      <c r="H796" s="53">
        <v>8</v>
      </c>
      <c r="I796" s="4">
        <f t="shared" si="50"/>
        <v>3.5</v>
      </c>
      <c r="J796" s="54"/>
      <c r="K796" s="54"/>
      <c r="L796" s="54"/>
      <c r="M796" s="55"/>
      <c r="N796" s="56"/>
      <c r="O796" s="56">
        <v>19</v>
      </c>
      <c r="P796" s="57"/>
      <c r="Q796" s="66" t="s">
        <v>1</v>
      </c>
      <c r="R796" s="20" t="str">
        <f t="shared" si="49"/>
        <v>horizontal</v>
      </c>
      <c r="S796" s="58">
        <v>-0.53924050630000009</v>
      </c>
      <c r="T796" s="58">
        <v>0</v>
      </c>
      <c r="U796" s="58">
        <v>0</v>
      </c>
      <c r="V796" s="59">
        <v>0</v>
      </c>
      <c r="W796" s="59">
        <v>-1</v>
      </c>
      <c r="Y796" s="56"/>
      <c r="Z796" s="53">
        <v>101</v>
      </c>
      <c r="AA796" s="54"/>
      <c r="AB796" s="54"/>
      <c r="AC796" s="54"/>
      <c r="AD796" s="4">
        <v>0.15587188612099601</v>
      </c>
      <c r="AE796" s="60" t="s">
        <v>79</v>
      </c>
      <c r="AF796" s="22"/>
    </row>
    <row r="797" spans="1:32" s="3" customFormat="1" x14ac:dyDescent="0.2">
      <c r="A797" s="1">
        <v>979</v>
      </c>
      <c r="B797" s="47"/>
      <c r="D797" s="3" t="s">
        <v>4</v>
      </c>
      <c r="E797" s="3" t="s">
        <v>81</v>
      </c>
      <c r="F797" s="34">
        <v>5.5</v>
      </c>
      <c r="G797" s="34">
        <v>0</v>
      </c>
      <c r="H797" s="34">
        <v>9</v>
      </c>
      <c r="I797" s="3">
        <f t="shared" si="50"/>
        <v>5.5</v>
      </c>
      <c r="J797" s="48"/>
      <c r="K797" s="48"/>
      <c r="L797" s="48"/>
      <c r="M797" s="49"/>
      <c r="N797" s="50"/>
      <c r="O797" s="50">
        <v>21</v>
      </c>
      <c r="P797" s="51"/>
      <c r="Q797" s="3" t="s">
        <v>33</v>
      </c>
      <c r="R797" s="20" t="str">
        <f t="shared" si="49"/>
        <v>horizontal</v>
      </c>
      <c r="S797" s="35">
        <v>0</v>
      </c>
      <c r="T797" s="35">
        <v>0</v>
      </c>
      <c r="U797" s="35">
        <v>0</v>
      </c>
      <c r="V797" s="36">
        <v>0</v>
      </c>
      <c r="W797" s="36">
        <v>-1</v>
      </c>
      <c r="Y797" s="50"/>
      <c r="Z797" s="34">
        <v>101</v>
      </c>
      <c r="AA797" s="48"/>
      <c r="AB797" s="48"/>
      <c r="AC797" s="48"/>
      <c r="AD797" s="3">
        <v>0.52618243243243201</v>
      </c>
      <c r="AE797" s="37" t="s">
        <v>80</v>
      </c>
      <c r="AF797" s="22"/>
    </row>
    <row r="798" spans="1:32" x14ac:dyDescent="0.2">
      <c r="A798" s="1">
        <v>980</v>
      </c>
      <c r="D798" s="1" t="s">
        <v>4</v>
      </c>
      <c r="E798" s="1" t="s">
        <v>81</v>
      </c>
      <c r="F798" s="15">
        <v>5.5</v>
      </c>
      <c r="G798" s="15">
        <v>0</v>
      </c>
      <c r="H798" s="15">
        <v>9</v>
      </c>
      <c r="I798" s="1">
        <f t="shared" si="50"/>
        <v>5.5</v>
      </c>
      <c r="O798" s="18">
        <v>21</v>
      </c>
      <c r="Q798" s="65" t="s">
        <v>1</v>
      </c>
      <c r="R798" s="20" t="str">
        <f t="shared" si="49"/>
        <v>horizontal</v>
      </c>
      <c r="S798" s="19">
        <v>-0.13843224669999998</v>
      </c>
      <c r="T798" s="19">
        <v>0</v>
      </c>
      <c r="U798" s="19">
        <v>0</v>
      </c>
      <c r="V798" s="20">
        <v>0</v>
      </c>
      <c r="W798" s="20">
        <v>-1</v>
      </c>
      <c r="Z798" s="15">
        <v>101</v>
      </c>
      <c r="AD798" s="1">
        <v>0.41621621621621602</v>
      </c>
      <c r="AE798" s="22" t="s">
        <v>80</v>
      </c>
      <c r="AF798" s="22"/>
    </row>
    <row r="799" spans="1:32" x14ac:dyDescent="0.2">
      <c r="A799" s="1">
        <v>981</v>
      </c>
      <c r="D799" s="1" t="s">
        <v>4</v>
      </c>
      <c r="E799" s="1" t="s">
        <v>81</v>
      </c>
      <c r="F799" s="15">
        <v>5.5</v>
      </c>
      <c r="G799" s="15">
        <v>0</v>
      </c>
      <c r="H799" s="15">
        <v>9</v>
      </c>
      <c r="I799" s="1">
        <f t="shared" si="50"/>
        <v>5.5</v>
      </c>
      <c r="O799" s="18">
        <v>21</v>
      </c>
      <c r="Q799" s="66" t="s">
        <v>1</v>
      </c>
      <c r="R799" s="20" t="str">
        <f t="shared" si="49"/>
        <v>horizontal</v>
      </c>
      <c r="S799" s="19">
        <v>-0.2394103511</v>
      </c>
      <c r="T799" s="19">
        <v>0</v>
      </c>
      <c r="U799" s="19">
        <v>0</v>
      </c>
      <c r="V799" s="20">
        <v>0</v>
      </c>
      <c r="W799" s="20">
        <v>-1</v>
      </c>
      <c r="Z799" s="15">
        <v>101</v>
      </c>
      <c r="AD799" s="1">
        <v>0.431587837837837</v>
      </c>
      <c r="AE799" s="22" t="s">
        <v>80</v>
      </c>
      <c r="AF799" s="22"/>
    </row>
    <row r="800" spans="1:32" x14ac:dyDescent="0.2">
      <c r="A800" s="1">
        <v>982</v>
      </c>
      <c r="D800" s="1" t="s">
        <v>4</v>
      </c>
      <c r="E800" s="1" t="s">
        <v>81</v>
      </c>
      <c r="F800" s="15">
        <v>5.5</v>
      </c>
      <c r="G800" s="15">
        <v>0</v>
      </c>
      <c r="H800" s="15">
        <v>9</v>
      </c>
      <c r="I800" s="1">
        <f t="shared" si="50"/>
        <v>5.5</v>
      </c>
      <c r="O800" s="18">
        <v>21</v>
      </c>
      <c r="Q800" s="66" t="s">
        <v>1</v>
      </c>
      <c r="R800" s="20" t="str">
        <f t="shared" si="49"/>
        <v>horizontal</v>
      </c>
      <c r="S800" s="19">
        <v>-0.31886899790000001</v>
      </c>
      <c r="T800" s="19">
        <v>0</v>
      </c>
      <c r="U800" s="19">
        <v>0</v>
      </c>
      <c r="V800" s="20">
        <v>0</v>
      </c>
      <c r="W800" s="20">
        <v>-1</v>
      </c>
      <c r="Z800" s="15">
        <v>101</v>
      </c>
      <c r="AD800" s="1">
        <v>0.40912162162162102</v>
      </c>
      <c r="AE800" s="22" t="s">
        <v>80</v>
      </c>
      <c r="AF800" s="22"/>
    </row>
    <row r="801" spans="1:32" x14ac:dyDescent="0.2">
      <c r="A801" s="1">
        <v>983</v>
      </c>
      <c r="D801" s="1" t="s">
        <v>4</v>
      </c>
      <c r="E801" s="1" t="s">
        <v>81</v>
      </c>
      <c r="F801" s="15">
        <v>5.5</v>
      </c>
      <c r="G801" s="15">
        <v>0</v>
      </c>
      <c r="H801" s="15">
        <v>9</v>
      </c>
      <c r="I801" s="1">
        <f t="shared" si="50"/>
        <v>5.5</v>
      </c>
      <c r="O801" s="18">
        <v>21</v>
      </c>
      <c r="Q801" s="66" t="s">
        <v>1</v>
      </c>
      <c r="R801" s="20" t="str">
        <f t="shared" si="49"/>
        <v>horizontal</v>
      </c>
      <c r="S801" s="19">
        <v>-0.41981053219999998</v>
      </c>
      <c r="T801" s="19">
        <v>0</v>
      </c>
      <c r="U801" s="19">
        <v>0</v>
      </c>
      <c r="V801" s="20">
        <v>0</v>
      </c>
      <c r="W801" s="20">
        <v>-1</v>
      </c>
      <c r="Z801" s="15">
        <v>101</v>
      </c>
      <c r="AD801" s="1">
        <v>0.43513513513513502</v>
      </c>
      <c r="AE801" s="22" t="s">
        <v>80</v>
      </c>
      <c r="AF801" s="22"/>
    </row>
    <row r="802" spans="1:32" x14ac:dyDescent="0.2">
      <c r="A802" s="1">
        <v>984</v>
      </c>
      <c r="D802" s="1" t="s">
        <v>4</v>
      </c>
      <c r="E802" s="1" t="s">
        <v>81</v>
      </c>
      <c r="F802" s="15">
        <v>5.5</v>
      </c>
      <c r="G802" s="15">
        <v>0</v>
      </c>
      <c r="H802" s="15">
        <v>9</v>
      </c>
      <c r="I802" s="1">
        <f t="shared" si="50"/>
        <v>5.5</v>
      </c>
      <c r="O802" s="18">
        <v>21</v>
      </c>
      <c r="Q802" s="66" t="s">
        <v>1</v>
      </c>
      <c r="R802" s="20" t="str">
        <f t="shared" si="49"/>
        <v>horizontal</v>
      </c>
      <c r="S802" s="19">
        <v>-0.59795555870000006</v>
      </c>
      <c r="T802" s="19">
        <v>0</v>
      </c>
      <c r="U802" s="19">
        <v>0</v>
      </c>
      <c r="V802" s="20">
        <v>0</v>
      </c>
      <c r="W802" s="20">
        <v>-1</v>
      </c>
      <c r="Z802" s="15">
        <v>101</v>
      </c>
      <c r="AD802" s="1">
        <v>0.39493243243243198</v>
      </c>
      <c r="AE802" s="22" t="s">
        <v>80</v>
      </c>
      <c r="AF802" s="22"/>
    </row>
    <row r="803" spans="1:32" x14ac:dyDescent="0.2">
      <c r="A803" s="1">
        <v>985</v>
      </c>
      <c r="D803" s="1" t="s">
        <v>4</v>
      </c>
      <c r="E803" s="1" t="s">
        <v>81</v>
      </c>
      <c r="F803" s="15">
        <v>5.5</v>
      </c>
      <c r="G803" s="15">
        <v>0</v>
      </c>
      <c r="H803" s="15">
        <v>9</v>
      </c>
      <c r="I803" s="1">
        <f t="shared" si="50"/>
        <v>5.5</v>
      </c>
      <c r="O803" s="18">
        <v>21</v>
      </c>
      <c r="Q803" s="66" t="s">
        <v>1</v>
      </c>
      <c r="R803" s="20" t="str">
        <f t="shared" si="49"/>
        <v>horizontal</v>
      </c>
      <c r="S803" s="19">
        <v>-0.75933523730000008</v>
      </c>
      <c r="T803" s="19">
        <v>0</v>
      </c>
      <c r="U803" s="19">
        <v>0</v>
      </c>
      <c r="V803" s="20">
        <v>0</v>
      </c>
      <c r="W803" s="20">
        <v>-1</v>
      </c>
      <c r="Z803" s="15">
        <v>101</v>
      </c>
      <c r="AD803" s="1">
        <v>0.33344594594594501</v>
      </c>
      <c r="AE803" s="22" t="s">
        <v>80</v>
      </c>
      <c r="AF803" s="22"/>
    </row>
    <row r="804" spans="1:32" x14ac:dyDescent="0.2">
      <c r="A804" s="1">
        <v>986</v>
      </c>
      <c r="D804" s="1" t="s">
        <v>4</v>
      </c>
      <c r="E804" s="1" t="s">
        <v>81</v>
      </c>
      <c r="F804" s="15">
        <v>5.5</v>
      </c>
      <c r="G804" s="15">
        <v>0</v>
      </c>
      <c r="H804" s="15">
        <v>9</v>
      </c>
      <c r="I804" s="1">
        <f t="shared" si="50"/>
        <v>5.5</v>
      </c>
      <c r="O804" s="18">
        <v>21</v>
      </c>
      <c r="Q804" s="65" t="s">
        <v>1</v>
      </c>
      <c r="R804" s="20" t="str">
        <f t="shared" si="49"/>
        <v>horizontal</v>
      </c>
      <c r="S804" s="19">
        <v>-0.99765429090000002</v>
      </c>
      <c r="T804" s="19">
        <v>0</v>
      </c>
      <c r="U804" s="19">
        <v>0</v>
      </c>
      <c r="V804" s="20">
        <v>0</v>
      </c>
      <c r="W804" s="20">
        <v>-1</v>
      </c>
      <c r="Z804" s="15">
        <v>101</v>
      </c>
      <c r="AD804" s="1">
        <v>0.282601351351351</v>
      </c>
      <c r="AE804" s="22" t="s">
        <v>80</v>
      </c>
      <c r="AF804" s="22"/>
    </row>
    <row r="805" spans="1:32" x14ac:dyDescent="0.2">
      <c r="A805" s="1">
        <v>987</v>
      </c>
      <c r="D805" s="1" t="s">
        <v>4</v>
      </c>
      <c r="E805" s="1" t="s">
        <v>81</v>
      </c>
      <c r="F805" s="15">
        <v>5.5</v>
      </c>
      <c r="G805" s="15">
        <v>0</v>
      </c>
      <c r="H805" s="15">
        <v>9</v>
      </c>
      <c r="I805" s="1">
        <f t="shared" si="50"/>
        <v>5.5</v>
      </c>
      <c r="O805" s="18">
        <v>21</v>
      </c>
      <c r="Q805" s="66" t="s">
        <v>1</v>
      </c>
      <c r="R805" s="20" t="str">
        <f t="shared" si="49"/>
        <v>horizontal</v>
      </c>
      <c r="S805" s="19">
        <v>-1.2480333430000001</v>
      </c>
      <c r="T805" s="19">
        <v>0</v>
      </c>
      <c r="U805" s="19">
        <v>0</v>
      </c>
      <c r="V805" s="20">
        <v>0</v>
      </c>
      <c r="W805" s="20">
        <v>-1</v>
      </c>
      <c r="Z805" s="15">
        <v>101</v>
      </c>
      <c r="AD805" s="1">
        <v>0.222297297297297</v>
      </c>
      <c r="AE805" s="22" t="s">
        <v>80</v>
      </c>
      <c r="AF805" s="22"/>
    </row>
    <row r="806" spans="1:32" x14ac:dyDescent="0.2">
      <c r="A806" s="1">
        <v>988</v>
      </c>
      <c r="D806" s="1" t="s">
        <v>4</v>
      </c>
      <c r="E806" s="1" t="s">
        <v>81</v>
      </c>
      <c r="F806" s="15">
        <v>5.5</v>
      </c>
      <c r="G806" s="15">
        <v>0</v>
      </c>
      <c r="H806" s="15">
        <v>9</v>
      </c>
      <c r="I806" s="1">
        <f t="shared" si="50"/>
        <v>5.5</v>
      </c>
      <c r="O806" s="18">
        <v>21</v>
      </c>
      <c r="Q806" s="66" t="s">
        <v>1</v>
      </c>
      <c r="R806" s="20" t="str">
        <f t="shared" si="49"/>
        <v>horizontal</v>
      </c>
      <c r="S806" s="19">
        <v>-1.498367698</v>
      </c>
      <c r="T806" s="19">
        <v>0</v>
      </c>
      <c r="U806" s="19">
        <v>0</v>
      </c>
      <c r="V806" s="20">
        <v>0</v>
      </c>
      <c r="W806" s="20">
        <v>-1</v>
      </c>
      <c r="Z806" s="15">
        <v>101</v>
      </c>
      <c r="AD806" s="1">
        <v>0.17499999999999999</v>
      </c>
      <c r="AE806" s="22" t="s">
        <v>80</v>
      </c>
      <c r="AF806" s="22"/>
    </row>
    <row r="807" spans="1:32" x14ac:dyDescent="0.2">
      <c r="A807" s="1">
        <v>989</v>
      </c>
      <c r="D807" s="1" t="s">
        <v>5</v>
      </c>
      <c r="E807" s="1" t="s">
        <v>81</v>
      </c>
      <c r="F807" s="15">
        <v>5.5</v>
      </c>
      <c r="G807" s="15">
        <v>5</v>
      </c>
      <c r="H807" s="15">
        <v>9</v>
      </c>
      <c r="I807" s="1">
        <f t="shared" si="50"/>
        <v>5.5</v>
      </c>
      <c r="O807" s="18">
        <v>21</v>
      </c>
      <c r="Q807" s="66" t="s">
        <v>1</v>
      </c>
      <c r="R807" s="20" t="str">
        <f t="shared" si="49"/>
        <v>horizontal</v>
      </c>
      <c r="S807" s="19">
        <v>1.11103371E-3</v>
      </c>
      <c r="T807" s="19">
        <v>0</v>
      </c>
      <c r="U807" s="19">
        <v>0</v>
      </c>
      <c r="V807" s="20">
        <v>0</v>
      </c>
      <c r="W807" s="20">
        <v>-1</v>
      </c>
      <c r="Z807" s="15">
        <v>101</v>
      </c>
      <c r="AD807" s="1">
        <v>0.42331081081081001</v>
      </c>
      <c r="AE807" s="22" t="s">
        <v>80</v>
      </c>
      <c r="AF807" s="22"/>
    </row>
    <row r="808" spans="1:32" x14ac:dyDescent="0.2">
      <c r="A808" s="1">
        <v>990</v>
      </c>
      <c r="D808" s="1" t="s">
        <v>5</v>
      </c>
      <c r="E808" s="1" t="s">
        <v>81</v>
      </c>
      <c r="F808" s="15">
        <v>5.5</v>
      </c>
      <c r="G808" s="15">
        <v>5</v>
      </c>
      <c r="H808" s="15">
        <v>9</v>
      </c>
      <c r="I808" s="1">
        <f t="shared" si="50"/>
        <v>5.5</v>
      </c>
      <c r="O808" s="18">
        <v>21</v>
      </c>
      <c r="Q808" s="66" t="s">
        <v>1</v>
      </c>
      <c r="R808" s="20" t="str">
        <f t="shared" si="49"/>
        <v>horizontal</v>
      </c>
      <c r="S808" s="19">
        <v>-0.1386191604</v>
      </c>
      <c r="T808" s="19">
        <v>0</v>
      </c>
      <c r="U808" s="19">
        <v>0</v>
      </c>
      <c r="V808" s="20">
        <v>0</v>
      </c>
      <c r="W808" s="20">
        <v>-1</v>
      </c>
      <c r="Z808" s="15">
        <v>101</v>
      </c>
      <c r="AD808" s="1">
        <v>0.36182432432432399</v>
      </c>
      <c r="AE808" s="22" t="s">
        <v>80</v>
      </c>
      <c r="AF808" s="22"/>
    </row>
    <row r="809" spans="1:32" x14ac:dyDescent="0.2">
      <c r="A809" s="1">
        <v>991</v>
      </c>
      <c r="D809" s="1" t="s">
        <v>5</v>
      </c>
      <c r="E809" s="1" t="s">
        <v>81</v>
      </c>
      <c r="F809" s="15">
        <v>5.5</v>
      </c>
      <c r="G809" s="15">
        <v>5</v>
      </c>
      <c r="H809" s="15">
        <v>9</v>
      </c>
      <c r="I809" s="1">
        <f t="shared" si="50"/>
        <v>5.5</v>
      </c>
      <c r="O809" s="18">
        <v>21</v>
      </c>
      <c r="Q809" s="66" t="s">
        <v>1</v>
      </c>
      <c r="R809" s="20" t="str">
        <f t="shared" si="49"/>
        <v>horizontal</v>
      </c>
      <c r="S809" s="19">
        <v>-0.23999953560000001</v>
      </c>
      <c r="T809" s="19">
        <v>0</v>
      </c>
      <c r="U809" s="19">
        <v>0</v>
      </c>
      <c r="V809" s="20">
        <v>0</v>
      </c>
      <c r="W809" s="20">
        <v>-1</v>
      </c>
      <c r="Z809" s="15">
        <v>101</v>
      </c>
      <c r="AD809" s="1">
        <v>0.26013513513513498</v>
      </c>
      <c r="AE809" s="22" t="s">
        <v>80</v>
      </c>
      <c r="AF809" s="22"/>
    </row>
    <row r="810" spans="1:32" x14ac:dyDescent="0.2">
      <c r="A810" s="1">
        <v>992</v>
      </c>
      <c r="D810" s="1" t="s">
        <v>5</v>
      </c>
      <c r="E810" s="1" t="s">
        <v>81</v>
      </c>
      <c r="F810" s="15">
        <v>5.5</v>
      </c>
      <c r="G810" s="15">
        <v>5</v>
      </c>
      <c r="H810" s="15">
        <v>9</v>
      </c>
      <c r="I810" s="1">
        <f t="shared" si="50"/>
        <v>5.5</v>
      </c>
      <c r="O810" s="18">
        <v>21</v>
      </c>
      <c r="Q810" s="65" t="s">
        <v>1</v>
      </c>
      <c r="R810" s="20" t="str">
        <f t="shared" si="49"/>
        <v>horizontal</v>
      </c>
      <c r="S810" s="19">
        <v>-0.31946224579999999</v>
      </c>
      <c r="T810" s="19">
        <v>0</v>
      </c>
      <c r="U810" s="19">
        <v>0</v>
      </c>
      <c r="V810" s="20">
        <v>0</v>
      </c>
      <c r="W810" s="20">
        <v>-1</v>
      </c>
      <c r="Z810" s="15">
        <v>101</v>
      </c>
      <c r="AD810" s="1">
        <v>0.23648648648648599</v>
      </c>
      <c r="AE810" s="22" t="s">
        <v>80</v>
      </c>
      <c r="AF810" s="22"/>
    </row>
    <row r="811" spans="1:32" x14ac:dyDescent="0.2">
      <c r="A811" s="1">
        <v>993</v>
      </c>
      <c r="D811" s="1" t="s">
        <v>5</v>
      </c>
      <c r="E811" s="1" t="s">
        <v>81</v>
      </c>
      <c r="F811" s="15">
        <v>5.5</v>
      </c>
      <c r="G811" s="15">
        <v>5</v>
      </c>
      <c r="H811" s="15">
        <v>9</v>
      </c>
      <c r="I811" s="1">
        <f t="shared" si="50"/>
        <v>5.5</v>
      </c>
      <c r="O811" s="18">
        <v>21</v>
      </c>
      <c r="Q811" s="66" t="s">
        <v>1</v>
      </c>
      <c r="R811" s="20" t="str">
        <f t="shared" si="49"/>
        <v>horizontal</v>
      </c>
      <c r="S811" s="19">
        <v>-0.41815675210000003</v>
      </c>
      <c r="T811" s="19">
        <v>0</v>
      </c>
      <c r="U811" s="19">
        <v>0</v>
      </c>
      <c r="V811" s="20">
        <v>0</v>
      </c>
      <c r="W811" s="20">
        <v>-1</v>
      </c>
      <c r="Z811" s="15">
        <v>101</v>
      </c>
      <c r="AD811" s="1">
        <v>0.21638513513513499</v>
      </c>
      <c r="AE811" s="22" t="s">
        <v>80</v>
      </c>
      <c r="AF811" s="22"/>
    </row>
    <row r="812" spans="1:32" x14ac:dyDescent="0.2">
      <c r="A812" s="1">
        <v>994</v>
      </c>
      <c r="D812" s="1" t="s">
        <v>5</v>
      </c>
      <c r="E812" s="1" t="s">
        <v>81</v>
      </c>
      <c r="F812" s="15">
        <v>5.5</v>
      </c>
      <c r="G812" s="15">
        <v>5</v>
      </c>
      <c r="H812" s="15">
        <v>9</v>
      </c>
      <c r="I812" s="1">
        <f t="shared" si="50"/>
        <v>5.5</v>
      </c>
      <c r="O812" s="18">
        <v>21</v>
      </c>
      <c r="Q812" s="66" t="s">
        <v>1</v>
      </c>
      <c r="R812" s="20" t="str">
        <f t="shared" si="49"/>
        <v>horizontal</v>
      </c>
      <c r="S812" s="19">
        <v>-0.5384926163</v>
      </c>
      <c r="T812" s="19">
        <v>0</v>
      </c>
      <c r="U812" s="19">
        <v>0</v>
      </c>
      <c r="V812" s="20">
        <v>0</v>
      </c>
      <c r="W812" s="20">
        <v>-1</v>
      </c>
      <c r="Z812" s="15">
        <v>101</v>
      </c>
      <c r="AD812" s="1">
        <v>0.19864864864864801</v>
      </c>
      <c r="AE812" s="22" t="s">
        <v>80</v>
      </c>
      <c r="AF812" s="22"/>
    </row>
    <row r="813" spans="1:32" x14ac:dyDescent="0.2">
      <c r="A813" s="1">
        <v>995</v>
      </c>
      <c r="D813" s="1" t="s">
        <v>5</v>
      </c>
      <c r="E813" s="1" t="s">
        <v>81</v>
      </c>
      <c r="F813" s="15">
        <v>5.5</v>
      </c>
      <c r="G813" s="15">
        <v>5</v>
      </c>
      <c r="H813" s="15">
        <v>9</v>
      </c>
      <c r="I813" s="1">
        <f t="shared" si="50"/>
        <v>5.5</v>
      </c>
      <c r="O813" s="18">
        <v>21</v>
      </c>
      <c r="Q813" s="66" t="s">
        <v>1</v>
      </c>
      <c r="R813" s="20" t="str">
        <f t="shared" si="49"/>
        <v>horizontal</v>
      </c>
      <c r="S813" s="19">
        <v>-0.65878378380000002</v>
      </c>
      <c r="T813" s="19">
        <v>0</v>
      </c>
      <c r="U813" s="19">
        <v>0</v>
      </c>
      <c r="V813" s="20">
        <v>0</v>
      </c>
      <c r="W813" s="20">
        <v>-1</v>
      </c>
      <c r="Z813" s="15">
        <v>101</v>
      </c>
      <c r="AD813" s="1">
        <v>0.19391891891891799</v>
      </c>
      <c r="AE813" s="22" t="s">
        <v>80</v>
      </c>
      <c r="AF813" s="22"/>
    </row>
    <row r="814" spans="1:32" x14ac:dyDescent="0.2">
      <c r="A814" s="1">
        <v>996</v>
      </c>
      <c r="D814" s="1" t="s">
        <v>5</v>
      </c>
      <c r="E814" s="1" t="s">
        <v>81</v>
      </c>
      <c r="F814" s="15">
        <v>5.5</v>
      </c>
      <c r="G814" s="15">
        <v>5</v>
      </c>
      <c r="H814" s="15">
        <v>9</v>
      </c>
      <c r="I814" s="1">
        <f t="shared" si="50"/>
        <v>5.5</v>
      </c>
      <c r="O814" s="18">
        <v>21</v>
      </c>
      <c r="Q814" s="66" t="s">
        <v>1</v>
      </c>
      <c r="R814" s="20" t="str">
        <f t="shared" si="49"/>
        <v>horizontal</v>
      </c>
      <c r="S814" s="19">
        <v>-0.75983502830000005</v>
      </c>
      <c r="T814" s="19">
        <v>0</v>
      </c>
      <c r="U814" s="19">
        <v>0</v>
      </c>
      <c r="V814" s="20">
        <v>0</v>
      </c>
      <c r="W814" s="20">
        <v>-1</v>
      </c>
      <c r="Z814" s="15">
        <v>101</v>
      </c>
      <c r="AD814" s="1">
        <v>0.18800675675675599</v>
      </c>
      <c r="AE814" s="22" t="s">
        <v>80</v>
      </c>
      <c r="AF814" s="22"/>
    </row>
    <row r="815" spans="1:32" x14ac:dyDescent="0.2">
      <c r="A815" s="1">
        <v>997</v>
      </c>
      <c r="D815" s="1" t="s">
        <v>5</v>
      </c>
      <c r="E815" s="1" t="s">
        <v>81</v>
      </c>
      <c r="F815" s="15">
        <v>5.5</v>
      </c>
      <c r="G815" s="15">
        <v>5</v>
      </c>
      <c r="H815" s="15">
        <v>9</v>
      </c>
      <c r="I815" s="1">
        <f t="shared" si="50"/>
        <v>5.5</v>
      </c>
      <c r="O815" s="18">
        <v>21</v>
      </c>
      <c r="Q815" s="66" t="s">
        <v>1</v>
      </c>
      <c r="R815" s="20" t="str">
        <f t="shared" si="49"/>
        <v>horizontal</v>
      </c>
      <c r="S815" s="19">
        <v>-1.000551454</v>
      </c>
      <c r="T815" s="19">
        <v>0</v>
      </c>
      <c r="U815" s="19">
        <v>0</v>
      </c>
      <c r="V815" s="20">
        <v>0</v>
      </c>
      <c r="W815" s="20">
        <v>-1</v>
      </c>
      <c r="Z815" s="15">
        <v>101</v>
      </c>
      <c r="AD815" s="1">
        <v>0.13952702702702699</v>
      </c>
      <c r="AE815" s="22" t="s">
        <v>80</v>
      </c>
      <c r="AF815" s="22"/>
    </row>
    <row r="816" spans="1:32" x14ac:dyDescent="0.2">
      <c r="A816" s="1">
        <v>998</v>
      </c>
      <c r="D816" s="1" t="s">
        <v>5</v>
      </c>
      <c r="E816" s="1" t="s">
        <v>81</v>
      </c>
      <c r="F816" s="15">
        <v>5.5</v>
      </c>
      <c r="G816" s="15">
        <v>5</v>
      </c>
      <c r="H816" s="15">
        <v>9</v>
      </c>
      <c r="I816" s="1">
        <f t="shared" si="50"/>
        <v>5.5</v>
      </c>
      <c r="O816" s="18">
        <v>21</v>
      </c>
      <c r="Q816" s="1" t="s">
        <v>1</v>
      </c>
      <c r="R816" s="20" t="str">
        <f t="shared" si="49"/>
        <v>horizontal</v>
      </c>
      <c r="S816" s="19">
        <v>-1.2482771429999999</v>
      </c>
      <c r="T816" s="19">
        <v>0</v>
      </c>
      <c r="U816" s="19">
        <v>0</v>
      </c>
      <c r="V816" s="20">
        <v>0</v>
      </c>
      <c r="W816" s="20">
        <v>-1</v>
      </c>
      <c r="Z816" s="15">
        <v>101</v>
      </c>
      <c r="AD816" s="1">
        <v>0.151351351351351</v>
      </c>
      <c r="AE816" s="22" t="s">
        <v>80</v>
      </c>
      <c r="AF816" s="22"/>
    </row>
    <row r="817" spans="1:32" s="5" customFormat="1" ht="16" thickBot="1" x14ac:dyDescent="0.25">
      <c r="A817" s="1">
        <v>999</v>
      </c>
      <c r="B817" s="24"/>
      <c r="D817" s="5" t="s">
        <v>5</v>
      </c>
      <c r="E817" s="5" t="s">
        <v>81</v>
      </c>
      <c r="F817" s="25">
        <v>5.5</v>
      </c>
      <c r="G817" s="25">
        <v>5</v>
      </c>
      <c r="H817" s="25">
        <v>9</v>
      </c>
      <c r="I817" s="5">
        <f t="shared" si="50"/>
        <v>5.5</v>
      </c>
      <c r="J817" s="26"/>
      <c r="K817" s="26"/>
      <c r="L817" s="26"/>
      <c r="M817" s="27"/>
      <c r="N817" s="28"/>
      <c r="O817" s="28">
        <v>21</v>
      </c>
      <c r="P817" s="29"/>
      <c r="Q817" s="5" t="s">
        <v>1</v>
      </c>
      <c r="R817" s="20" t="str">
        <f t="shared" si="49"/>
        <v>horizontal</v>
      </c>
      <c r="S817" s="30">
        <v>-1.488896048</v>
      </c>
      <c r="T817" s="30">
        <v>0</v>
      </c>
      <c r="U817" s="30">
        <v>0</v>
      </c>
      <c r="V817" s="31">
        <v>0</v>
      </c>
      <c r="W817" s="31">
        <v>-1</v>
      </c>
      <c r="Y817" s="28"/>
      <c r="Z817" s="25">
        <v>101</v>
      </c>
      <c r="AA817" s="26"/>
      <c r="AB817" s="26"/>
      <c r="AC817" s="26"/>
      <c r="AD817" s="5">
        <v>0.13124999999999901</v>
      </c>
      <c r="AE817" s="33" t="s">
        <v>80</v>
      </c>
      <c r="AF817" s="22"/>
    </row>
    <row r="818" spans="1:32" s="3" customFormat="1" x14ac:dyDescent="0.2">
      <c r="A818" s="1">
        <v>1000</v>
      </c>
      <c r="B818" s="47"/>
      <c r="D818" s="3" t="s">
        <v>4</v>
      </c>
      <c r="E818" s="3" t="s">
        <v>25</v>
      </c>
      <c r="F818" s="34">
        <v>2.5</v>
      </c>
      <c r="G818" s="34">
        <v>0</v>
      </c>
      <c r="H818" s="34">
        <v>4</v>
      </c>
      <c r="I818" s="34">
        <f t="shared" si="50"/>
        <v>2.5</v>
      </c>
      <c r="J818" s="48"/>
      <c r="K818" s="48"/>
      <c r="L818" s="48"/>
      <c r="M818" s="49"/>
      <c r="N818" s="50"/>
      <c r="O818" s="50">
        <v>21</v>
      </c>
      <c r="P818" s="51"/>
      <c r="Q818" s="1" t="s">
        <v>33</v>
      </c>
      <c r="R818" s="20" t="str">
        <f t="shared" si="49"/>
        <v>horizontal</v>
      </c>
      <c r="S818" s="35">
        <v>0</v>
      </c>
      <c r="T818" s="35">
        <v>0</v>
      </c>
      <c r="U818" s="35">
        <v>0</v>
      </c>
      <c r="V818" s="36">
        <v>0</v>
      </c>
      <c r="W818" s="36">
        <v>-1</v>
      </c>
      <c r="Y818" s="50"/>
      <c r="Z818" s="34">
        <v>102.443236804883</v>
      </c>
      <c r="AA818" s="48"/>
      <c r="AB818" s="48"/>
      <c r="AC818" s="48"/>
      <c r="AD818" s="3">
        <v>1.9921052631578899</v>
      </c>
      <c r="AE818" s="37" t="s">
        <v>82</v>
      </c>
      <c r="AF818" s="22"/>
    </row>
    <row r="819" spans="1:32" x14ac:dyDescent="0.2">
      <c r="A819" s="1">
        <v>1001</v>
      </c>
      <c r="D819" s="1" t="s">
        <v>4</v>
      </c>
      <c r="E819" s="1" t="s">
        <v>25</v>
      </c>
      <c r="F819" s="15">
        <v>2.5</v>
      </c>
      <c r="G819" s="15">
        <v>0</v>
      </c>
      <c r="H819" s="15">
        <v>4</v>
      </c>
      <c r="I819" s="15">
        <f t="shared" ref="I819:I838" si="51">F819</f>
        <v>2.5</v>
      </c>
      <c r="O819" s="18">
        <v>21</v>
      </c>
      <c r="Q819" s="1" t="s">
        <v>33</v>
      </c>
      <c r="R819" s="20" t="str">
        <f t="shared" si="49"/>
        <v>horizontal</v>
      </c>
      <c r="S819" s="19">
        <v>0</v>
      </c>
      <c r="T819" s="19">
        <v>0</v>
      </c>
      <c r="U819" s="19">
        <v>0</v>
      </c>
      <c r="V819" s="20">
        <v>0</v>
      </c>
      <c r="W819" s="20">
        <v>-1</v>
      </c>
      <c r="Z819" s="15">
        <v>202.78716593463801</v>
      </c>
      <c r="AD819" s="1">
        <v>2.23157894736842</v>
      </c>
      <c r="AE819" s="22" t="s">
        <v>82</v>
      </c>
      <c r="AF819" s="22"/>
    </row>
    <row r="820" spans="1:32" x14ac:dyDescent="0.2">
      <c r="A820" s="1">
        <v>1002</v>
      </c>
      <c r="D820" s="1" t="s">
        <v>4</v>
      </c>
      <c r="E820" s="1" t="s">
        <v>25</v>
      </c>
      <c r="F820" s="15">
        <v>2.5</v>
      </c>
      <c r="G820" s="15">
        <v>0</v>
      </c>
      <c r="H820" s="15">
        <v>4</v>
      </c>
      <c r="I820" s="15">
        <f t="shared" si="51"/>
        <v>2.5</v>
      </c>
      <c r="O820" s="18">
        <v>21</v>
      </c>
      <c r="Q820" s="1" t="s">
        <v>33</v>
      </c>
      <c r="R820" s="20" t="str">
        <f t="shared" si="49"/>
        <v>horizontal</v>
      </c>
      <c r="S820" s="19">
        <v>0</v>
      </c>
      <c r="T820" s="19">
        <v>0</v>
      </c>
      <c r="U820" s="19">
        <v>0</v>
      </c>
      <c r="V820" s="20">
        <v>0</v>
      </c>
      <c r="W820" s="20">
        <v>-1</v>
      </c>
      <c r="Z820" s="15">
        <v>302.43430358073397</v>
      </c>
      <c r="AD820" s="1">
        <v>2.1631578947368402</v>
      </c>
      <c r="AE820" s="22" t="s">
        <v>82</v>
      </c>
      <c r="AF820" s="22"/>
    </row>
    <row r="821" spans="1:32" x14ac:dyDescent="0.2">
      <c r="A821" s="1">
        <v>1003</v>
      </c>
      <c r="D821" s="1" t="s">
        <v>4</v>
      </c>
      <c r="E821" s="1" t="s">
        <v>25</v>
      </c>
      <c r="F821" s="15">
        <v>2.5</v>
      </c>
      <c r="G821" s="15">
        <v>0</v>
      </c>
      <c r="H821" s="15">
        <v>4</v>
      </c>
      <c r="I821" s="15">
        <f t="shared" si="51"/>
        <v>2.5</v>
      </c>
      <c r="O821" s="18">
        <v>21</v>
      </c>
      <c r="Q821" s="1" t="s">
        <v>33</v>
      </c>
      <c r="R821" s="20" t="str">
        <f t="shared" si="49"/>
        <v>horizontal</v>
      </c>
      <c r="S821" s="19">
        <v>0</v>
      </c>
      <c r="T821" s="19">
        <v>0</v>
      </c>
      <c r="U821" s="19">
        <v>0</v>
      </c>
      <c r="V821" s="20">
        <v>0</v>
      </c>
      <c r="W821" s="20">
        <v>-1</v>
      </c>
      <c r="Z821" s="15">
        <v>402.43877019280797</v>
      </c>
      <c r="AD821" s="1">
        <v>2.2526315789473599</v>
      </c>
      <c r="AE821" s="22" t="s">
        <v>82</v>
      </c>
      <c r="AF821" s="22"/>
    </row>
    <row r="822" spans="1:32" x14ac:dyDescent="0.2">
      <c r="A822" s="1">
        <v>1004</v>
      </c>
      <c r="D822" s="1" t="s">
        <v>4</v>
      </c>
      <c r="E822" s="1" t="s">
        <v>25</v>
      </c>
      <c r="F822" s="15">
        <v>2.5</v>
      </c>
      <c r="G822" s="15">
        <v>0</v>
      </c>
      <c r="H822" s="15">
        <v>4</v>
      </c>
      <c r="I822" s="15">
        <f t="shared" si="51"/>
        <v>2.5</v>
      </c>
      <c r="O822" s="18">
        <v>21</v>
      </c>
      <c r="Q822" s="1" t="s">
        <v>33</v>
      </c>
      <c r="R822" s="20" t="str">
        <f t="shared" si="49"/>
        <v>horizontal</v>
      </c>
      <c r="S822" s="19">
        <v>0</v>
      </c>
      <c r="T822" s="19">
        <v>0</v>
      </c>
      <c r="U822" s="19">
        <v>0</v>
      </c>
      <c r="V822" s="20">
        <v>0</v>
      </c>
      <c r="W822" s="20">
        <v>-1</v>
      </c>
      <c r="Z822" s="15">
        <v>504.00357328965896</v>
      </c>
      <c r="AD822" s="1">
        <v>2.3315789473684201</v>
      </c>
      <c r="AE822" s="22" t="s">
        <v>82</v>
      </c>
      <c r="AF822" s="22"/>
    </row>
    <row r="823" spans="1:32" x14ac:dyDescent="0.2">
      <c r="A823" s="1">
        <v>1005</v>
      </c>
      <c r="D823" s="1" t="s">
        <v>4</v>
      </c>
      <c r="E823" s="1" t="s">
        <v>25</v>
      </c>
      <c r="F823" s="15">
        <v>2.5</v>
      </c>
      <c r="G823" s="15">
        <v>0</v>
      </c>
      <c r="H823" s="15">
        <v>4</v>
      </c>
      <c r="I823" s="15">
        <f t="shared" si="51"/>
        <v>2.5</v>
      </c>
      <c r="O823" s="18">
        <v>21</v>
      </c>
      <c r="Q823" s="1" t="s">
        <v>33</v>
      </c>
      <c r="R823" s="20" t="str">
        <f t="shared" si="49"/>
        <v>horizontal</v>
      </c>
      <c r="S823" s="19">
        <v>0</v>
      </c>
      <c r="T823" s="19">
        <v>0</v>
      </c>
      <c r="U823" s="19">
        <v>0</v>
      </c>
      <c r="V823" s="20">
        <v>0</v>
      </c>
      <c r="W823" s="20">
        <v>-1</v>
      </c>
      <c r="Z823" s="15">
        <v>602.35241569269704</v>
      </c>
      <c r="AD823" s="1">
        <v>2.38947368421052</v>
      </c>
      <c r="AE823" s="22" t="s">
        <v>82</v>
      </c>
      <c r="AF823" s="22"/>
    </row>
    <row r="824" spans="1:32" x14ac:dyDescent="0.2">
      <c r="A824" s="1">
        <v>1006</v>
      </c>
      <c r="D824" s="1" t="s">
        <v>4</v>
      </c>
      <c r="E824" s="1" t="s">
        <v>25</v>
      </c>
      <c r="F824" s="15">
        <v>2.5</v>
      </c>
      <c r="G824" s="15">
        <v>0</v>
      </c>
      <c r="H824" s="15">
        <v>4</v>
      </c>
      <c r="I824" s="15">
        <f t="shared" si="51"/>
        <v>2.5</v>
      </c>
      <c r="O824" s="18">
        <v>21</v>
      </c>
      <c r="Q824" s="1" t="s">
        <v>33</v>
      </c>
      <c r="R824" s="20" t="str">
        <f t="shared" si="49"/>
        <v>horizontal</v>
      </c>
      <c r="S824" s="19">
        <v>0</v>
      </c>
      <c r="T824" s="19">
        <v>0</v>
      </c>
      <c r="U824" s="19">
        <v>0</v>
      </c>
      <c r="V824" s="20">
        <v>0</v>
      </c>
      <c r="W824" s="20">
        <v>-1</v>
      </c>
      <c r="Z824" s="15">
        <v>703.81002009975407</v>
      </c>
      <c r="AD824" s="1">
        <v>2.4210526315789398</v>
      </c>
      <c r="AE824" s="22" t="s">
        <v>82</v>
      </c>
      <c r="AF824" s="22"/>
    </row>
    <row r="825" spans="1:32" x14ac:dyDescent="0.2">
      <c r="A825" s="1">
        <v>1007</v>
      </c>
      <c r="D825" s="1" t="s">
        <v>4</v>
      </c>
      <c r="E825" s="1" t="s">
        <v>25</v>
      </c>
      <c r="F825" s="15">
        <v>2.5</v>
      </c>
      <c r="G825" s="15">
        <v>0</v>
      </c>
      <c r="H825" s="15">
        <v>4</v>
      </c>
      <c r="I825" s="15">
        <f t="shared" si="51"/>
        <v>2.5</v>
      </c>
      <c r="O825" s="18">
        <v>21</v>
      </c>
      <c r="Q825" s="1" t="s">
        <v>33</v>
      </c>
      <c r="R825" s="20" t="str">
        <f t="shared" si="49"/>
        <v>horizontal</v>
      </c>
      <c r="S825" s="19">
        <v>0</v>
      </c>
      <c r="T825" s="19">
        <v>0</v>
      </c>
      <c r="U825" s="19">
        <v>0</v>
      </c>
      <c r="V825" s="20">
        <v>0</v>
      </c>
      <c r="W825" s="20">
        <v>-1</v>
      </c>
      <c r="Z825" s="15">
        <v>802.12312960619306</v>
      </c>
      <c r="AD825" s="1">
        <v>2.46315789473684</v>
      </c>
      <c r="AE825" s="22" t="s">
        <v>82</v>
      </c>
      <c r="AF825" s="22"/>
    </row>
    <row r="826" spans="1:32" x14ac:dyDescent="0.2">
      <c r="A826" s="1">
        <v>1008</v>
      </c>
      <c r="D826" s="1" t="s">
        <v>4</v>
      </c>
      <c r="E826" s="1" t="s">
        <v>25</v>
      </c>
      <c r="F826" s="15">
        <v>2.5</v>
      </c>
      <c r="G826" s="15">
        <v>0</v>
      </c>
      <c r="H826" s="15">
        <v>4</v>
      </c>
      <c r="I826" s="15">
        <f t="shared" si="51"/>
        <v>2.5</v>
      </c>
      <c r="O826" s="18">
        <v>21</v>
      </c>
      <c r="Q826" s="1" t="s">
        <v>33</v>
      </c>
      <c r="R826" s="20" t="str">
        <f t="shared" si="49"/>
        <v>horizontal</v>
      </c>
      <c r="S826" s="19">
        <v>0</v>
      </c>
      <c r="T826" s="19">
        <v>0</v>
      </c>
      <c r="U826" s="19">
        <v>0</v>
      </c>
      <c r="V826" s="20">
        <v>0</v>
      </c>
      <c r="W826" s="20">
        <v>-1</v>
      </c>
      <c r="Z826" s="15">
        <v>903.56882304771807</v>
      </c>
      <c r="AD826" s="1">
        <v>2.4894736842105201</v>
      </c>
      <c r="AE826" s="22" t="s">
        <v>82</v>
      </c>
      <c r="AF826" s="22"/>
    </row>
    <row r="827" spans="1:32" x14ac:dyDescent="0.2">
      <c r="A827" s="1">
        <v>1009</v>
      </c>
      <c r="D827" s="1" t="s">
        <v>4</v>
      </c>
      <c r="E827" s="1" t="s">
        <v>25</v>
      </c>
      <c r="F827" s="15">
        <v>2.5</v>
      </c>
      <c r="G827" s="15">
        <v>0</v>
      </c>
      <c r="H827" s="15">
        <v>4</v>
      </c>
      <c r="I827" s="15">
        <f t="shared" si="51"/>
        <v>2.5</v>
      </c>
      <c r="O827" s="18">
        <v>21</v>
      </c>
      <c r="Q827" s="1" t="s">
        <v>33</v>
      </c>
      <c r="R827" s="20" t="str">
        <f t="shared" si="49"/>
        <v>horizontal</v>
      </c>
      <c r="S827" s="19">
        <v>0</v>
      </c>
      <c r="T827" s="19">
        <v>0</v>
      </c>
      <c r="U827" s="19">
        <v>0</v>
      </c>
      <c r="V827" s="20">
        <v>0</v>
      </c>
      <c r="W827" s="20">
        <v>-1</v>
      </c>
      <c r="Z827" s="15">
        <v>1003.4124916251</v>
      </c>
      <c r="AD827" s="1">
        <v>2.5078947368421001</v>
      </c>
      <c r="AE827" s="22" t="s">
        <v>82</v>
      </c>
      <c r="AF827" s="22"/>
    </row>
    <row r="828" spans="1:32" x14ac:dyDescent="0.2">
      <c r="A828" s="1">
        <v>1010</v>
      </c>
      <c r="D828" s="1" t="s">
        <v>5</v>
      </c>
      <c r="E828" s="1" t="s">
        <v>25</v>
      </c>
      <c r="F828" s="15">
        <v>2.5</v>
      </c>
      <c r="G828" s="15">
        <v>2.1</v>
      </c>
      <c r="H828" s="15">
        <v>4</v>
      </c>
      <c r="I828" s="15">
        <f t="shared" si="51"/>
        <v>2.5</v>
      </c>
      <c r="O828" s="18">
        <v>21</v>
      </c>
      <c r="Q828" s="1" t="s">
        <v>33</v>
      </c>
      <c r="R828" s="20" t="str">
        <f t="shared" si="49"/>
        <v>horizontal</v>
      </c>
      <c r="S828" s="19">
        <v>0</v>
      </c>
      <c r="T828" s="19">
        <v>0</v>
      </c>
      <c r="U828" s="19">
        <v>0</v>
      </c>
      <c r="V828" s="20">
        <v>0</v>
      </c>
      <c r="W828" s="20">
        <v>-1</v>
      </c>
      <c r="Z828" s="15">
        <v>103.01496315045</v>
      </c>
      <c r="AD828" s="1">
        <v>1.5447368421052601</v>
      </c>
      <c r="AE828" s="22" t="s">
        <v>82</v>
      </c>
      <c r="AF828" s="22"/>
    </row>
    <row r="829" spans="1:32" x14ac:dyDescent="0.2">
      <c r="A829" s="1">
        <v>1011</v>
      </c>
      <c r="D829" s="1" t="s">
        <v>5</v>
      </c>
      <c r="E829" s="1" t="s">
        <v>25</v>
      </c>
      <c r="F829" s="15">
        <v>2.5</v>
      </c>
      <c r="G829" s="15">
        <v>2.1</v>
      </c>
      <c r="H829" s="15">
        <v>4</v>
      </c>
      <c r="I829" s="15">
        <f t="shared" si="51"/>
        <v>2.5</v>
      </c>
      <c r="O829" s="18">
        <v>21</v>
      </c>
      <c r="Q829" s="1" t="s">
        <v>33</v>
      </c>
      <c r="R829" s="20" t="str">
        <f t="shared" si="49"/>
        <v>horizontal</v>
      </c>
      <c r="S829" s="19">
        <v>0</v>
      </c>
      <c r="T829" s="19">
        <v>0</v>
      </c>
      <c r="U829" s="19">
        <v>0</v>
      </c>
      <c r="V829" s="20">
        <v>0</v>
      </c>
      <c r="W829" s="20">
        <v>-1</v>
      </c>
      <c r="Z829" s="15">
        <v>202.45365889972399</v>
      </c>
      <c r="AD829" s="1">
        <v>1.38421052631578</v>
      </c>
      <c r="AE829" s="22" t="s">
        <v>82</v>
      </c>
      <c r="AF829" s="22"/>
    </row>
    <row r="830" spans="1:32" x14ac:dyDescent="0.2">
      <c r="A830" s="1">
        <v>1012</v>
      </c>
      <c r="D830" s="1" t="s">
        <v>5</v>
      </c>
      <c r="E830" s="1" t="s">
        <v>25</v>
      </c>
      <c r="F830" s="15">
        <v>2.5</v>
      </c>
      <c r="G830" s="15">
        <v>2.1</v>
      </c>
      <c r="H830" s="15">
        <v>4</v>
      </c>
      <c r="I830" s="15">
        <f t="shared" si="51"/>
        <v>2.5</v>
      </c>
      <c r="O830" s="18">
        <v>21</v>
      </c>
      <c r="Q830" s="1" t="s">
        <v>33</v>
      </c>
      <c r="R830" s="20" t="str">
        <f t="shared" si="49"/>
        <v>horizontal</v>
      </c>
      <c r="S830" s="19">
        <v>0</v>
      </c>
      <c r="T830" s="19">
        <v>0</v>
      </c>
      <c r="U830" s="19">
        <v>0</v>
      </c>
      <c r="V830" s="20">
        <v>0</v>
      </c>
      <c r="W830" s="20">
        <v>-1</v>
      </c>
      <c r="Z830" s="15">
        <v>300.64765875083697</v>
      </c>
      <c r="AD830" s="1">
        <v>1.3736842105263101</v>
      </c>
      <c r="AE830" s="22" t="s">
        <v>82</v>
      </c>
      <c r="AF830" s="22"/>
    </row>
    <row r="831" spans="1:32" x14ac:dyDescent="0.2">
      <c r="A831" s="1">
        <v>1013</v>
      </c>
      <c r="D831" s="1" t="s">
        <v>5</v>
      </c>
      <c r="E831" s="1" t="s">
        <v>25</v>
      </c>
      <c r="F831" s="15">
        <v>2.5</v>
      </c>
      <c r="G831" s="15">
        <v>2.1</v>
      </c>
      <c r="H831" s="15">
        <v>4</v>
      </c>
      <c r="I831" s="15">
        <f t="shared" si="51"/>
        <v>2.5</v>
      </c>
      <c r="O831" s="18">
        <v>21</v>
      </c>
      <c r="Q831" s="1" t="s">
        <v>33</v>
      </c>
      <c r="R831" s="20" t="str">
        <f t="shared" si="49"/>
        <v>horizontal</v>
      </c>
      <c r="S831" s="19">
        <v>0</v>
      </c>
      <c r="T831" s="19">
        <v>0</v>
      </c>
      <c r="U831" s="19">
        <v>0</v>
      </c>
      <c r="V831" s="20">
        <v>0</v>
      </c>
      <c r="W831" s="20">
        <v>-1</v>
      </c>
      <c r="Z831" s="15">
        <v>400.34244025906304</v>
      </c>
      <c r="AD831" s="1">
        <v>1.3263157894736799</v>
      </c>
      <c r="AE831" s="22" t="s">
        <v>82</v>
      </c>
      <c r="AF831" s="22"/>
    </row>
    <row r="832" spans="1:32" x14ac:dyDescent="0.2">
      <c r="A832" s="1">
        <v>1014</v>
      </c>
      <c r="D832" s="1" t="s">
        <v>5</v>
      </c>
      <c r="E832" s="1" t="s">
        <v>25</v>
      </c>
      <c r="F832" s="15">
        <v>2.5</v>
      </c>
      <c r="G832" s="15">
        <v>2.1</v>
      </c>
      <c r="H832" s="15">
        <v>4</v>
      </c>
      <c r="I832" s="15">
        <f t="shared" si="51"/>
        <v>2.5</v>
      </c>
      <c r="O832" s="18">
        <v>21</v>
      </c>
      <c r="Q832" s="1" t="s">
        <v>33</v>
      </c>
      <c r="R832" s="20" t="str">
        <f t="shared" si="49"/>
        <v>horizontal</v>
      </c>
      <c r="S832" s="19">
        <v>0</v>
      </c>
      <c r="T832" s="19">
        <v>0</v>
      </c>
      <c r="U832" s="19">
        <v>0</v>
      </c>
      <c r="V832" s="20">
        <v>0</v>
      </c>
      <c r="W832" s="20">
        <v>-1</v>
      </c>
      <c r="Z832" s="15">
        <v>501.56182535546702</v>
      </c>
      <c r="AD832" s="1">
        <v>1.2526315789473601</v>
      </c>
      <c r="AE832" s="22" t="s">
        <v>82</v>
      </c>
      <c r="AF832" s="22"/>
    </row>
    <row r="833" spans="1:32" x14ac:dyDescent="0.2">
      <c r="A833" s="1">
        <v>1015</v>
      </c>
      <c r="D833" s="1" t="s">
        <v>5</v>
      </c>
      <c r="E833" s="1" t="s">
        <v>25</v>
      </c>
      <c r="F833" s="15">
        <v>2.5</v>
      </c>
      <c r="G833" s="15">
        <v>2.1</v>
      </c>
      <c r="H833" s="15">
        <v>4</v>
      </c>
      <c r="I833" s="15">
        <f t="shared" si="51"/>
        <v>2.5</v>
      </c>
      <c r="O833" s="18">
        <v>21</v>
      </c>
      <c r="Q833" s="1" t="s">
        <v>33</v>
      </c>
      <c r="R833" s="20" t="str">
        <f t="shared" si="49"/>
        <v>horizontal</v>
      </c>
      <c r="S833" s="19">
        <v>0</v>
      </c>
      <c r="T833" s="19">
        <v>0</v>
      </c>
      <c r="U833" s="19">
        <v>0</v>
      </c>
      <c r="V833" s="20">
        <v>0</v>
      </c>
      <c r="W833" s="20">
        <v>-1</v>
      </c>
      <c r="Z833" s="15">
        <v>601.43527134668295</v>
      </c>
      <c r="AD833" s="1">
        <v>1.2842105263157799</v>
      </c>
      <c r="AE833" s="22" t="s">
        <v>82</v>
      </c>
      <c r="AF833" s="22"/>
    </row>
    <row r="834" spans="1:32" x14ac:dyDescent="0.2">
      <c r="A834" s="1">
        <v>1016</v>
      </c>
      <c r="D834" s="1" t="s">
        <v>5</v>
      </c>
      <c r="E834" s="1" t="s">
        <v>25</v>
      </c>
      <c r="F834" s="15">
        <v>2.5</v>
      </c>
      <c r="G834" s="15">
        <v>2.1</v>
      </c>
      <c r="H834" s="15">
        <v>4</v>
      </c>
      <c r="I834" s="15">
        <f t="shared" si="51"/>
        <v>2.5</v>
      </c>
      <c r="O834" s="18">
        <v>21</v>
      </c>
      <c r="Q834" s="1" t="s">
        <v>33</v>
      </c>
      <c r="R834" s="20" t="str">
        <f t="shared" si="49"/>
        <v>horizontal</v>
      </c>
      <c r="S834" s="19">
        <v>0</v>
      </c>
      <c r="T834" s="19">
        <v>0</v>
      </c>
      <c r="U834" s="19">
        <v>0</v>
      </c>
      <c r="V834" s="20">
        <v>0</v>
      </c>
      <c r="W834" s="20">
        <v>-1</v>
      </c>
      <c r="Z834" s="15">
        <v>701.07645351001202</v>
      </c>
      <c r="AD834" s="1">
        <v>1.21315789473684</v>
      </c>
      <c r="AE834" s="22" t="s">
        <v>82</v>
      </c>
      <c r="AF834" s="22"/>
    </row>
    <row r="835" spans="1:32" x14ac:dyDescent="0.2">
      <c r="A835" s="1">
        <v>1017</v>
      </c>
      <c r="D835" s="1" t="s">
        <v>5</v>
      </c>
      <c r="E835" s="1" t="s">
        <v>25</v>
      </c>
      <c r="F835" s="15">
        <v>2.5</v>
      </c>
      <c r="G835" s="15">
        <v>2.1</v>
      </c>
      <c r="H835" s="15">
        <v>4</v>
      </c>
      <c r="I835" s="15">
        <f t="shared" si="51"/>
        <v>2.5</v>
      </c>
      <c r="O835" s="18">
        <v>21</v>
      </c>
      <c r="Q835" s="1" t="s">
        <v>33</v>
      </c>
      <c r="R835" s="20" t="str">
        <f t="shared" si="49"/>
        <v>horizontal</v>
      </c>
      <c r="S835" s="19">
        <v>0</v>
      </c>
      <c r="T835" s="19">
        <v>0</v>
      </c>
      <c r="U835" s="19">
        <v>0</v>
      </c>
      <c r="V835" s="20">
        <v>0</v>
      </c>
      <c r="W835" s="20">
        <v>-1</v>
      </c>
      <c r="Z835" s="15">
        <v>800.83674532866803</v>
      </c>
      <c r="AD835" s="1">
        <v>1.19473684210526</v>
      </c>
      <c r="AE835" s="22" t="s">
        <v>82</v>
      </c>
      <c r="AF835" s="22"/>
    </row>
    <row r="836" spans="1:32" x14ac:dyDescent="0.2">
      <c r="A836" s="1">
        <v>1018</v>
      </c>
      <c r="D836" s="1" t="s">
        <v>5</v>
      </c>
      <c r="E836" s="1" t="s">
        <v>25</v>
      </c>
      <c r="F836" s="15">
        <v>2.5</v>
      </c>
      <c r="G836" s="15">
        <v>2.1</v>
      </c>
      <c r="H836" s="15">
        <v>4</v>
      </c>
      <c r="I836" s="15">
        <f t="shared" si="51"/>
        <v>2.5</v>
      </c>
      <c r="O836" s="18">
        <v>21</v>
      </c>
      <c r="Q836" s="1" t="s">
        <v>33</v>
      </c>
      <c r="R836" s="20" t="str">
        <f t="shared" ref="R836:R899" si="52">R835</f>
        <v>horizontal</v>
      </c>
      <c r="S836" s="19">
        <v>0</v>
      </c>
      <c r="T836" s="19">
        <v>0</v>
      </c>
      <c r="U836" s="19">
        <v>0</v>
      </c>
      <c r="V836" s="20">
        <v>0</v>
      </c>
      <c r="W836" s="20">
        <v>-1</v>
      </c>
      <c r="Z836" s="15">
        <v>900.56725973349205</v>
      </c>
      <c r="AD836" s="1">
        <v>1.1631578947368399</v>
      </c>
      <c r="AE836" s="22" t="s">
        <v>82</v>
      </c>
      <c r="AF836" s="22"/>
    </row>
    <row r="837" spans="1:32" s="5" customFormat="1" ht="16" thickBot="1" x14ac:dyDescent="0.25">
      <c r="A837" s="1">
        <v>1019</v>
      </c>
      <c r="B837" s="24"/>
      <c r="D837" s="5" t="s">
        <v>5</v>
      </c>
      <c r="E837" s="5" t="s">
        <v>25</v>
      </c>
      <c r="F837" s="25">
        <v>2.5</v>
      </c>
      <c r="G837" s="25">
        <v>2.1</v>
      </c>
      <c r="H837" s="25">
        <v>4</v>
      </c>
      <c r="I837" s="25">
        <f t="shared" si="51"/>
        <v>2.5</v>
      </c>
      <c r="J837" s="26"/>
      <c r="K837" s="26"/>
      <c r="L837" s="26"/>
      <c r="M837" s="27"/>
      <c r="N837" s="28"/>
      <c r="O837" s="28">
        <v>21</v>
      </c>
      <c r="P837" s="29"/>
      <c r="Q837" s="1" t="s">
        <v>33</v>
      </c>
      <c r="R837" s="20" t="str">
        <f t="shared" si="52"/>
        <v>horizontal</v>
      </c>
      <c r="S837" s="30">
        <v>0</v>
      </c>
      <c r="T837" s="30">
        <v>0</v>
      </c>
      <c r="U837" s="30">
        <v>0</v>
      </c>
      <c r="V837" s="31">
        <v>0</v>
      </c>
      <c r="W837" s="31">
        <v>-1</v>
      </c>
      <c r="Y837" s="28"/>
      <c r="Z837" s="25">
        <v>1000.3275515521399</v>
      </c>
      <c r="AA837" s="26"/>
      <c r="AB837" s="26"/>
      <c r="AC837" s="26"/>
      <c r="AD837" s="5">
        <v>1.1447368421052599</v>
      </c>
      <c r="AE837" s="33" t="s">
        <v>82</v>
      </c>
      <c r="AF837" s="22"/>
    </row>
    <row r="838" spans="1:32" s="3" customFormat="1" x14ac:dyDescent="0.2">
      <c r="A838" s="1">
        <v>1020</v>
      </c>
      <c r="B838" s="47"/>
      <c r="D838" s="3" t="s">
        <v>4</v>
      </c>
      <c r="E838" s="3" t="s">
        <v>25</v>
      </c>
      <c r="F838" s="34">
        <v>0.5</v>
      </c>
      <c r="G838" s="34">
        <v>0</v>
      </c>
      <c r="H838" s="34">
        <v>0.8</v>
      </c>
      <c r="I838" s="34">
        <f t="shared" si="51"/>
        <v>0.5</v>
      </c>
      <c r="J838" s="48"/>
      <c r="K838" s="48"/>
      <c r="L838" s="48"/>
      <c r="M838" s="49"/>
      <c r="N838" s="50"/>
      <c r="O838" s="50">
        <v>16.949860724233901</v>
      </c>
      <c r="P838" s="51"/>
      <c r="Q838" s="65" t="s">
        <v>1</v>
      </c>
      <c r="R838" s="20" t="str">
        <f t="shared" si="52"/>
        <v>horizontal</v>
      </c>
      <c r="S838" s="35">
        <v>-0.15</v>
      </c>
      <c r="T838" s="35">
        <v>0</v>
      </c>
      <c r="U838" s="35">
        <v>0</v>
      </c>
      <c r="V838" s="36">
        <v>1</v>
      </c>
      <c r="W838" s="36">
        <v>0</v>
      </c>
      <c r="Y838" s="50"/>
      <c r="Z838" s="34">
        <v>101</v>
      </c>
      <c r="AA838" s="48"/>
      <c r="AB838" s="48"/>
      <c r="AC838" s="48"/>
      <c r="AD838" s="3">
        <v>3.3063238446324399</v>
      </c>
      <c r="AE838" s="37" t="s">
        <v>109</v>
      </c>
      <c r="AF838" s="22"/>
    </row>
    <row r="839" spans="1:32" x14ac:dyDescent="0.2">
      <c r="A839" s="1">
        <v>1021</v>
      </c>
      <c r="D839" s="1" t="s">
        <v>4</v>
      </c>
      <c r="E839" s="1" t="s">
        <v>25</v>
      </c>
      <c r="F839" s="15">
        <v>0.5</v>
      </c>
      <c r="G839" s="15">
        <v>0</v>
      </c>
      <c r="H839" s="15">
        <v>0.8</v>
      </c>
      <c r="I839" s="15">
        <f t="shared" ref="I839:I863" si="53">F839</f>
        <v>0.5</v>
      </c>
      <c r="O839" s="18">
        <v>18.969359331476301</v>
      </c>
      <c r="Q839" s="66" t="s">
        <v>1</v>
      </c>
      <c r="R839" s="20" t="str">
        <f t="shared" si="52"/>
        <v>horizontal</v>
      </c>
      <c r="S839" s="19">
        <v>-0.15</v>
      </c>
      <c r="T839" s="19">
        <v>0</v>
      </c>
      <c r="U839" s="19">
        <v>0</v>
      </c>
      <c r="V839" s="20">
        <v>1</v>
      </c>
      <c r="W839" s="20">
        <v>0</v>
      </c>
      <c r="Z839" s="15">
        <v>101</v>
      </c>
      <c r="AD839" s="1">
        <v>5.5167182694597701</v>
      </c>
      <c r="AE839" s="37" t="s">
        <v>109</v>
      </c>
      <c r="AF839" s="22"/>
    </row>
    <row r="840" spans="1:32" x14ac:dyDescent="0.2">
      <c r="A840" s="1">
        <v>1022</v>
      </c>
      <c r="D840" s="1" t="s">
        <v>4</v>
      </c>
      <c r="E840" s="1" t="s">
        <v>25</v>
      </c>
      <c r="F840" s="15">
        <v>0.5</v>
      </c>
      <c r="G840" s="15">
        <v>0</v>
      </c>
      <c r="H840" s="15">
        <v>0.8</v>
      </c>
      <c r="I840" s="15">
        <f t="shared" si="53"/>
        <v>0.5</v>
      </c>
      <c r="O840" s="18">
        <v>20.988857938718599</v>
      </c>
      <c r="Q840" s="66" t="s">
        <v>1</v>
      </c>
      <c r="R840" s="20" t="str">
        <f t="shared" si="52"/>
        <v>horizontal</v>
      </c>
      <c r="S840" s="19">
        <v>-0.15</v>
      </c>
      <c r="T840" s="19">
        <v>0</v>
      </c>
      <c r="U840" s="19">
        <v>0</v>
      </c>
      <c r="V840" s="20">
        <v>1</v>
      </c>
      <c r="W840" s="20">
        <v>0</v>
      </c>
      <c r="Z840" s="15">
        <v>101</v>
      </c>
      <c r="AD840" s="1">
        <v>6.8163320251421204</v>
      </c>
      <c r="AE840" s="37" t="s">
        <v>109</v>
      </c>
      <c r="AF840" s="22"/>
    </row>
    <row r="841" spans="1:32" x14ac:dyDescent="0.2">
      <c r="A841" s="1">
        <v>1023</v>
      </c>
      <c r="D841" s="1" t="s">
        <v>4</v>
      </c>
      <c r="E841" s="1" t="s">
        <v>25</v>
      </c>
      <c r="F841" s="15">
        <v>0.5</v>
      </c>
      <c r="G841" s="15">
        <v>0</v>
      </c>
      <c r="H841" s="15">
        <v>0.8</v>
      </c>
      <c r="I841" s="15">
        <f t="shared" si="53"/>
        <v>0.5</v>
      </c>
      <c r="O841" s="18">
        <v>23.008356545961</v>
      </c>
      <c r="Q841" s="66" t="s">
        <v>1</v>
      </c>
      <c r="R841" s="20" t="str">
        <f t="shared" si="52"/>
        <v>horizontal</v>
      </c>
      <c r="S841" s="19">
        <v>-0.15</v>
      </c>
      <c r="T841" s="19">
        <v>0</v>
      </c>
      <c r="U841" s="19">
        <v>0</v>
      </c>
      <c r="V841" s="20">
        <v>1</v>
      </c>
      <c r="W841" s="20">
        <v>0</v>
      </c>
      <c r="Z841" s="15">
        <v>101</v>
      </c>
      <c r="AD841" s="1">
        <v>7.5211502417910099</v>
      </c>
      <c r="AE841" s="37" t="s">
        <v>109</v>
      </c>
      <c r="AF841" s="22"/>
    </row>
    <row r="842" spans="1:32" x14ac:dyDescent="0.2">
      <c r="A842" s="1">
        <v>1024</v>
      </c>
      <c r="D842" s="1" t="s">
        <v>4</v>
      </c>
      <c r="E842" s="1" t="s">
        <v>25</v>
      </c>
      <c r="F842" s="15">
        <v>0.5</v>
      </c>
      <c r="G842" s="15">
        <v>0</v>
      </c>
      <c r="H842" s="15">
        <v>0.8</v>
      </c>
      <c r="I842" s="15">
        <f t="shared" si="53"/>
        <v>0.5</v>
      </c>
      <c r="O842" s="18">
        <v>24.993036211699099</v>
      </c>
      <c r="Q842" s="66" t="s">
        <v>1</v>
      </c>
      <c r="R842" s="20" t="str">
        <f t="shared" si="52"/>
        <v>horizontal</v>
      </c>
      <c r="S842" s="19">
        <v>-0.15</v>
      </c>
      <c r="T842" s="19">
        <v>0</v>
      </c>
      <c r="U842" s="19">
        <v>0</v>
      </c>
      <c r="V842" s="20">
        <v>1</v>
      </c>
      <c r="W842" s="20">
        <v>0</v>
      </c>
      <c r="Z842" s="15">
        <v>101</v>
      </c>
      <c r="AD842" s="1">
        <v>8.3375185096975208</v>
      </c>
      <c r="AE842" s="37" t="s">
        <v>109</v>
      </c>
      <c r="AF842" s="22"/>
    </row>
    <row r="843" spans="1:32" x14ac:dyDescent="0.2">
      <c r="A843" s="1">
        <v>1025</v>
      </c>
      <c r="D843" s="1" t="s">
        <v>4</v>
      </c>
      <c r="E843" s="1" t="s">
        <v>25</v>
      </c>
      <c r="F843" s="15">
        <v>0.5</v>
      </c>
      <c r="G843" s="15">
        <v>0</v>
      </c>
      <c r="H843" s="15">
        <v>0.8</v>
      </c>
      <c r="I843" s="15">
        <f t="shared" si="53"/>
        <v>0.5</v>
      </c>
      <c r="O843" s="18">
        <v>26.977715877437301</v>
      </c>
      <c r="Q843" s="66" t="s">
        <v>1</v>
      </c>
      <c r="R843" s="20" t="str">
        <f t="shared" si="52"/>
        <v>horizontal</v>
      </c>
      <c r="S843" s="19">
        <v>-0.15</v>
      </c>
      <c r="T843" s="19">
        <v>0</v>
      </c>
      <c r="U843" s="19">
        <v>0</v>
      </c>
      <c r="V843" s="20">
        <v>1</v>
      </c>
      <c r="W843" s="20">
        <v>0</v>
      </c>
      <c r="Z843" s="15">
        <v>101</v>
      </c>
      <c r="AD843" s="1">
        <v>7.7970094541839599</v>
      </c>
      <c r="AE843" s="37" t="s">
        <v>109</v>
      </c>
      <c r="AF843" s="22"/>
    </row>
    <row r="844" spans="1:32" x14ac:dyDescent="0.2">
      <c r="A844" s="1">
        <v>1026</v>
      </c>
      <c r="D844" s="1" t="s">
        <v>4</v>
      </c>
      <c r="E844" s="1" t="s">
        <v>25</v>
      </c>
      <c r="F844" s="15">
        <v>0.5</v>
      </c>
      <c r="G844" s="15">
        <v>0</v>
      </c>
      <c r="H844" s="15">
        <v>0.8</v>
      </c>
      <c r="I844" s="15">
        <f t="shared" si="53"/>
        <v>0.5</v>
      </c>
      <c r="O844" s="18">
        <v>28.997214484679599</v>
      </c>
      <c r="Q844" s="65" t="s">
        <v>1</v>
      </c>
      <c r="R844" s="20" t="str">
        <f t="shared" si="52"/>
        <v>horizontal</v>
      </c>
      <c r="S844" s="19">
        <v>-0.15</v>
      </c>
      <c r="T844" s="19">
        <v>0</v>
      </c>
      <c r="U844" s="19">
        <v>0</v>
      </c>
      <c r="V844" s="20">
        <v>1</v>
      </c>
      <c r="W844" s="20">
        <v>0</v>
      </c>
      <c r="Z844" s="15">
        <v>101</v>
      </c>
      <c r="AD844" s="1">
        <v>7.5910470016878699</v>
      </c>
      <c r="AE844" s="37" t="s">
        <v>109</v>
      </c>
      <c r="AF844" s="22"/>
    </row>
    <row r="845" spans="1:32" x14ac:dyDescent="0.2">
      <c r="A845" s="1">
        <v>1027</v>
      </c>
      <c r="D845" s="1" t="s">
        <v>4</v>
      </c>
      <c r="E845" s="1" t="s">
        <v>25</v>
      </c>
      <c r="F845" s="15">
        <v>0.5</v>
      </c>
      <c r="G845" s="15">
        <v>0</v>
      </c>
      <c r="H845" s="15">
        <v>0.8</v>
      </c>
      <c r="I845" s="15">
        <f t="shared" si="53"/>
        <v>0.5</v>
      </c>
      <c r="O845" s="18">
        <v>30.981894150417801</v>
      </c>
      <c r="Q845" s="66" t="s">
        <v>1</v>
      </c>
      <c r="R845" s="20" t="str">
        <f t="shared" si="52"/>
        <v>horizontal</v>
      </c>
      <c r="S845" s="19">
        <v>-0.15</v>
      </c>
      <c r="T845" s="19">
        <v>0</v>
      </c>
      <c r="U845" s="19">
        <v>0</v>
      </c>
      <c r="V845" s="20">
        <v>1</v>
      </c>
      <c r="W845" s="20">
        <v>0</v>
      </c>
      <c r="Z845" s="15">
        <v>101</v>
      </c>
      <c r="AD845" s="1">
        <v>6.8460769796315599</v>
      </c>
      <c r="AE845" s="37" t="s">
        <v>109</v>
      </c>
      <c r="AF845" s="22"/>
    </row>
    <row r="846" spans="1:32" x14ac:dyDescent="0.2">
      <c r="A846" s="1">
        <v>1028</v>
      </c>
      <c r="D846" s="1" t="s">
        <v>4</v>
      </c>
      <c r="E846" s="1" t="s">
        <v>25</v>
      </c>
      <c r="F846" s="15">
        <v>0.5</v>
      </c>
      <c r="G846" s="15">
        <v>0</v>
      </c>
      <c r="H846" s="15">
        <v>0.8</v>
      </c>
      <c r="I846" s="15">
        <f t="shared" si="53"/>
        <v>0.5</v>
      </c>
      <c r="O846" s="18">
        <v>33.001392757660099</v>
      </c>
      <c r="Q846" s="66" t="s">
        <v>1</v>
      </c>
      <c r="R846" s="20" t="str">
        <f t="shared" si="52"/>
        <v>horizontal</v>
      </c>
      <c r="S846" s="19">
        <v>-0.15</v>
      </c>
      <c r="T846" s="19">
        <v>0</v>
      </c>
      <c r="U846" s="19">
        <v>0</v>
      </c>
      <c r="V846" s="20">
        <v>1</v>
      </c>
      <c r="W846" s="20">
        <v>0</v>
      </c>
      <c r="Z846" s="15">
        <v>101</v>
      </c>
      <c r="AD846" s="1">
        <v>7.1605606237897401</v>
      </c>
      <c r="AE846" s="37" t="s">
        <v>109</v>
      </c>
      <c r="AF846" s="22"/>
    </row>
    <row r="847" spans="1:32" x14ac:dyDescent="0.2">
      <c r="A847" s="1">
        <v>1029</v>
      </c>
      <c r="D847" s="1" t="s">
        <v>4</v>
      </c>
      <c r="E847" s="1" t="s">
        <v>25</v>
      </c>
      <c r="F847" s="15">
        <v>0.5</v>
      </c>
      <c r="G847" s="15">
        <v>0</v>
      </c>
      <c r="H847" s="15">
        <v>0.8</v>
      </c>
      <c r="I847" s="15">
        <f t="shared" si="53"/>
        <v>0.5</v>
      </c>
      <c r="O847" s="18">
        <v>35.020891364902504</v>
      </c>
      <c r="Q847" s="66" t="s">
        <v>1</v>
      </c>
      <c r="R847" s="20" t="str">
        <f t="shared" si="52"/>
        <v>horizontal</v>
      </c>
      <c r="S847" s="19">
        <v>-0.15</v>
      </c>
      <c r="T847" s="19">
        <v>0</v>
      </c>
      <c r="U847" s="19">
        <v>0</v>
      </c>
      <c r="V847" s="20">
        <v>1</v>
      </c>
      <c r="W847" s="20">
        <v>0</v>
      </c>
      <c r="Z847" s="15">
        <v>101</v>
      </c>
      <c r="AD847" s="1">
        <v>7.7166799556802701</v>
      </c>
      <c r="AE847" s="37" t="s">
        <v>109</v>
      </c>
      <c r="AF847" s="22"/>
    </row>
    <row r="848" spans="1:32" x14ac:dyDescent="0.2">
      <c r="A848" s="1">
        <v>1030</v>
      </c>
      <c r="D848" s="1" t="s">
        <v>4</v>
      </c>
      <c r="E848" s="1" t="s">
        <v>25</v>
      </c>
      <c r="F848" s="15">
        <v>0.5</v>
      </c>
      <c r="G848" s="15">
        <v>0</v>
      </c>
      <c r="H848" s="15">
        <v>0.8</v>
      </c>
      <c r="I848" s="15">
        <f t="shared" si="53"/>
        <v>0.5</v>
      </c>
      <c r="O848" s="18">
        <v>37.005571030640603</v>
      </c>
      <c r="Q848" s="66" t="s">
        <v>1</v>
      </c>
      <c r="R848" s="20" t="str">
        <f t="shared" si="52"/>
        <v>horizontal</v>
      </c>
      <c r="S848" s="19">
        <v>-0.15</v>
      </c>
      <c r="T848" s="19">
        <v>0</v>
      </c>
      <c r="U848" s="19">
        <v>0</v>
      </c>
      <c r="V848" s="20">
        <v>1</v>
      </c>
      <c r="W848" s="20">
        <v>0</v>
      </c>
      <c r="Z848" s="15">
        <v>101</v>
      </c>
      <c r="AD848" s="1">
        <v>7.8267285209845499</v>
      </c>
      <c r="AE848" s="37" t="s">
        <v>109</v>
      </c>
      <c r="AF848" s="22"/>
    </row>
    <row r="849" spans="1:32" x14ac:dyDescent="0.2">
      <c r="A849" s="1">
        <v>1031</v>
      </c>
      <c r="D849" s="1" t="s">
        <v>4</v>
      </c>
      <c r="E849" s="1" t="s">
        <v>25</v>
      </c>
      <c r="F849" s="15">
        <v>0.5</v>
      </c>
      <c r="G849" s="15">
        <v>0</v>
      </c>
      <c r="H849" s="15">
        <v>0.8</v>
      </c>
      <c r="I849" s="15">
        <f t="shared" si="53"/>
        <v>0.5</v>
      </c>
      <c r="O849" s="18">
        <v>39.025069637883</v>
      </c>
      <c r="Q849" s="66" t="s">
        <v>1</v>
      </c>
      <c r="R849" s="20" t="str">
        <f t="shared" si="52"/>
        <v>horizontal</v>
      </c>
      <c r="S849" s="19">
        <v>-0.15</v>
      </c>
      <c r="T849" s="19">
        <v>0</v>
      </c>
      <c r="U849" s="19">
        <v>0</v>
      </c>
      <c r="V849" s="20">
        <v>1</v>
      </c>
      <c r="W849" s="20">
        <v>0</v>
      </c>
      <c r="Z849" s="15">
        <v>101</v>
      </c>
      <c r="AD849" s="1">
        <v>8.2341489681167204</v>
      </c>
      <c r="AE849" s="37" t="s">
        <v>109</v>
      </c>
      <c r="AF849" s="22"/>
    </row>
    <row r="850" spans="1:32" x14ac:dyDescent="0.2">
      <c r="A850" s="1">
        <v>1032</v>
      </c>
      <c r="D850" s="1" t="s">
        <v>4</v>
      </c>
      <c r="E850" s="1" t="s">
        <v>25</v>
      </c>
      <c r="F850" s="15">
        <v>0.5</v>
      </c>
      <c r="G850" s="15">
        <v>0</v>
      </c>
      <c r="H850" s="15">
        <v>0.8</v>
      </c>
      <c r="I850" s="15">
        <f t="shared" si="53"/>
        <v>0.5</v>
      </c>
      <c r="O850" s="18">
        <v>41.009749303621099</v>
      </c>
      <c r="Q850" s="65" t="s">
        <v>1</v>
      </c>
      <c r="R850" s="20" t="str">
        <f t="shared" si="52"/>
        <v>horizontal</v>
      </c>
      <c r="S850" s="19">
        <v>-0.15</v>
      </c>
      <c r="T850" s="19">
        <v>0</v>
      </c>
      <c r="U850" s="19">
        <v>0</v>
      </c>
      <c r="V850" s="20">
        <v>1</v>
      </c>
      <c r="W850" s="20">
        <v>0</v>
      </c>
      <c r="Z850" s="15">
        <v>101</v>
      </c>
      <c r="AD850" s="1">
        <v>8.2140860092574304</v>
      </c>
      <c r="AE850" s="37" t="s">
        <v>109</v>
      </c>
      <c r="AF850" s="22"/>
    </row>
    <row r="851" spans="1:32" x14ac:dyDescent="0.2">
      <c r="A851" s="1">
        <v>1033</v>
      </c>
      <c r="D851" s="1" t="s">
        <v>9</v>
      </c>
      <c r="E851" s="1" t="s">
        <v>25</v>
      </c>
      <c r="F851" s="15">
        <v>0.5</v>
      </c>
      <c r="G851" s="15">
        <v>0</v>
      </c>
      <c r="H851" s="15">
        <v>0.8</v>
      </c>
      <c r="I851" s="15">
        <f t="shared" si="53"/>
        <v>0.5</v>
      </c>
      <c r="O851" s="18">
        <v>18.969359331476301</v>
      </c>
      <c r="Q851" s="66" t="s">
        <v>1</v>
      </c>
      <c r="R851" s="20" t="str">
        <f t="shared" si="52"/>
        <v>horizontal</v>
      </c>
      <c r="S851" s="19">
        <v>-0.15</v>
      </c>
      <c r="T851" s="19">
        <v>0</v>
      </c>
      <c r="U851" s="19">
        <v>0</v>
      </c>
      <c r="V851" s="20">
        <v>1</v>
      </c>
      <c r="W851" s="20">
        <v>0</v>
      </c>
      <c r="Z851" s="15">
        <v>101</v>
      </c>
      <c r="AD851" s="1">
        <v>1.6319599051475</v>
      </c>
      <c r="AE851" s="37" t="s">
        <v>109</v>
      </c>
      <c r="AF851" s="22"/>
    </row>
    <row r="852" spans="1:32" x14ac:dyDescent="0.2">
      <c r="A852" s="1">
        <v>1034</v>
      </c>
      <c r="D852" s="1" t="s">
        <v>9</v>
      </c>
      <c r="E852" s="1" t="s">
        <v>25</v>
      </c>
      <c r="F852" s="15">
        <v>0.5</v>
      </c>
      <c r="G852" s="15">
        <v>0</v>
      </c>
      <c r="H852" s="15">
        <v>0.8</v>
      </c>
      <c r="I852" s="15">
        <f t="shared" si="53"/>
        <v>0.5</v>
      </c>
      <c r="O852" s="18">
        <v>20.988857938718599</v>
      </c>
      <c r="Q852" s="66" t="s">
        <v>1</v>
      </c>
      <c r="R852" s="20" t="str">
        <f t="shared" si="52"/>
        <v>horizontal</v>
      </c>
      <c r="S852" s="19">
        <v>-0.15</v>
      </c>
      <c r="T852" s="19">
        <v>0</v>
      </c>
      <c r="U852" s="19">
        <v>0</v>
      </c>
      <c r="V852" s="20">
        <v>1</v>
      </c>
      <c r="W852" s="20">
        <v>0</v>
      </c>
      <c r="Z852" s="15">
        <v>101</v>
      </c>
      <c r="AD852" s="1">
        <v>1.92785618871089</v>
      </c>
      <c r="AE852" s="37" t="s">
        <v>109</v>
      </c>
      <c r="AF852" s="22"/>
    </row>
    <row r="853" spans="1:32" x14ac:dyDescent="0.2">
      <c r="A853" s="1">
        <v>1035</v>
      </c>
      <c r="D853" s="1" t="s">
        <v>9</v>
      </c>
      <c r="E853" s="1" t="s">
        <v>25</v>
      </c>
      <c r="F853" s="15">
        <v>0.5</v>
      </c>
      <c r="G853" s="15">
        <v>0</v>
      </c>
      <c r="H853" s="15">
        <v>0.8</v>
      </c>
      <c r="I853" s="15">
        <f t="shared" si="53"/>
        <v>0.5</v>
      </c>
      <c r="O853" s="18">
        <v>23.008356545961</v>
      </c>
      <c r="Q853" s="66" t="s">
        <v>1</v>
      </c>
      <c r="R853" s="20" t="str">
        <f t="shared" si="52"/>
        <v>horizontal</v>
      </c>
      <c r="S853" s="19">
        <v>-0.15</v>
      </c>
      <c r="T853" s="19">
        <v>0</v>
      </c>
      <c r="U853" s="19">
        <v>0</v>
      </c>
      <c r="V853" s="20">
        <v>1</v>
      </c>
      <c r="W853" s="20">
        <v>0</v>
      </c>
      <c r="Z853" s="15">
        <v>101</v>
      </c>
      <c r="AD853" s="1">
        <v>2.4282134388170298</v>
      </c>
      <c r="AE853" s="37" t="s">
        <v>109</v>
      </c>
      <c r="AF853" s="22"/>
    </row>
    <row r="854" spans="1:32" x14ac:dyDescent="0.2">
      <c r="A854" s="1">
        <v>1036</v>
      </c>
      <c r="D854" s="1" t="s">
        <v>9</v>
      </c>
      <c r="E854" s="1" t="s">
        <v>25</v>
      </c>
      <c r="F854" s="15">
        <v>0.5</v>
      </c>
      <c r="G854" s="15">
        <v>0</v>
      </c>
      <c r="H854" s="15">
        <v>0.8</v>
      </c>
      <c r="I854" s="15">
        <f t="shared" si="53"/>
        <v>0.5</v>
      </c>
      <c r="O854" s="18">
        <v>24.993036211699099</v>
      </c>
      <c r="Q854" s="66" t="s">
        <v>1</v>
      </c>
      <c r="R854" s="20" t="str">
        <f t="shared" si="52"/>
        <v>horizontal</v>
      </c>
      <c r="S854" s="19">
        <v>-0.15</v>
      </c>
      <c r="T854" s="19">
        <v>0</v>
      </c>
      <c r="U854" s="19">
        <v>0</v>
      </c>
      <c r="V854" s="20">
        <v>1</v>
      </c>
      <c r="W854" s="20">
        <v>0</v>
      </c>
      <c r="Z854" s="15">
        <v>101</v>
      </c>
      <c r="AD854" s="1">
        <v>2.6126114465004999</v>
      </c>
      <c r="AE854" s="37" t="s">
        <v>109</v>
      </c>
      <c r="AF854" s="22"/>
    </row>
    <row r="855" spans="1:32" x14ac:dyDescent="0.2">
      <c r="A855" s="1">
        <v>1037</v>
      </c>
      <c r="D855" s="1" t="s">
        <v>9</v>
      </c>
      <c r="E855" s="1" t="s">
        <v>25</v>
      </c>
      <c r="F855" s="15">
        <v>0.5</v>
      </c>
      <c r="G855" s="15">
        <v>0</v>
      </c>
      <c r="H855" s="15">
        <v>0.8</v>
      </c>
      <c r="I855" s="15">
        <f t="shared" si="53"/>
        <v>0.5</v>
      </c>
      <c r="O855" s="18">
        <v>26.977715877437301</v>
      </c>
      <c r="Q855" s="66" t="s">
        <v>1</v>
      </c>
      <c r="R855" s="20" t="str">
        <f t="shared" si="52"/>
        <v>horizontal</v>
      </c>
      <c r="S855" s="19">
        <v>-0.15</v>
      </c>
      <c r="T855" s="19">
        <v>0</v>
      </c>
      <c r="U855" s="19">
        <v>0</v>
      </c>
      <c r="V855" s="20">
        <v>1</v>
      </c>
      <c r="W855" s="20">
        <v>0</v>
      </c>
      <c r="Z855" s="15">
        <v>101</v>
      </c>
      <c r="AD855" s="1">
        <v>2.8527715359683499</v>
      </c>
      <c r="AE855" s="37" t="s">
        <v>109</v>
      </c>
      <c r="AF855" s="22"/>
    </row>
    <row r="856" spans="1:32" x14ac:dyDescent="0.2">
      <c r="A856" s="1">
        <v>1038</v>
      </c>
      <c r="D856" s="1" t="s">
        <v>9</v>
      </c>
      <c r="E856" s="1" t="s">
        <v>25</v>
      </c>
      <c r="F856" s="15">
        <v>0.5</v>
      </c>
      <c r="G856" s="15">
        <v>0</v>
      </c>
      <c r="H856" s="15">
        <v>0.8</v>
      </c>
      <c r="I856" s="15">
        <f t="shared" si="53"/>
        <v>0.5</v>
      </c>
      <c r="O856" s="18">
        <v>28.997214484679599</v>
      </c>
      <c r="Q856" s="65" t="s">
        <v>1</v>
      </c>
      <c r="R856" s="20" t="str">
        <f t="shared" si="52"/>
        <v>horizontal</v>
      </c>
      <c r="S856" s="19">
        <v>-0.15</v>
      </c>
      <c r="T856" s="19">
        <v>0</v>
      </c>
      <c r="U856" s="19">
        <v>0</v>
      </c>
      <c r="V856" s="20">
        <v>1</v>
      </c>
      <c r="W856" s="20">
        <v>0</v>
      </c>
      <c r="Z856" s="15">
        <v>101</v>
      </c>
      <c r="AD856" s="1">
        <v>2.9070321317993999</v>
      </c>
      <c r="AE856" s="37" t="s">
        <v>109</v>
      </c>
      <c r="AF856" s="22"/>
    </row>
    <row r="857" spans="1:32" x14ac:dyDescent="0.2">
      <c r="A857" s="1">
        <v>1039</v>
      </c>
      <c r="D857" s="1" t="s">
        <v>9</v>
      </c>
      <c r="E857" s="1" t="s">
        <v>25</v>
      </c>
      <c r="F857" s="15">
        <v>0.5</v>
      </c>
      <c r="G857" s="15">
        <v>0</v>
      </c>
      <c r="H857" s="15">
        <v>0.8</v>
      </c>
      <c r="I857" s="15">
        <f t="shared" si="53"/>
        <v>0.5</v>
      </c>
      <c r="O857" s="18">
        <v>30.981894150417801</v>
      </c>
      <c r="Q857" s="66" t="s">
        <v>1</v>
      </c>
      <c r="R857" s="20" t="str">
        <f t="shared" si="52"/>
        <v>horizontal</v>
      </c>
      <c r="S857" s="19">
        <v>-0.15</v>
      </c>
      <c r="T857" s="19">
        <v>0</v>
      </c>
      <c r="U857" s="19">
        <v>0</v>
      </c>
      <c r="V857" s="20">
        <v>1</v>
      </c>
      <c r="W857" s="20">
        <v>0</v>
      </c>
      <c r="Z857" s="15">
        <v>101</v>
      </c>
      <c r="AD857" s="1">
        <v>3.2958911060256102</v>
      </c>
      <c r="AE857" s="37" t="s">
        <v>109</v>
      </c>
      <c r="AF857" s="22"/>
    </row>
    <row r="858" spans="1:32" x14ac:dyDescent="0.2">
      <c r="A858" s="1">
        <v>1040</v>
      </c>
      <c r="D858" s="1" t="s">
        <v>9</v>
      </c>
      <c r="E858" s="1" t="s">
        <v>25</v>
      </c>
      <c r="F858" s="15">
        <v>0.5</v>
      </c>
      <c r="G858" s="15">
        <v>0</v>
      </c>
      <c r="H858" s="15">
        <v>0.8</v>
      </c>
      <c r="I858" s="15">
        <f t="shared" si="53"/>
        <v>0.5</v>
      </c>
      <c r="O858" s="18">
        <v>33.001392757660099</v>
      </c>
      <c r="Q858" s="66" t="s">
        <v>1</v>
      </c>
      <c r="R858" s="20" t="str">
        <f t="shared" si="52"/>
        <v>horizontal</v>
      </c>
      <c r="S858" s="19">
        <v>-0.15</v>
      </c>
      <c r="T858" s="19">
        <v>0</v>
      </c>
      <c r="U858" s="19">
        <v>0</v>
      </c>
      <c r="V858" s="20">
        <v>1</v>
      </c>
      <c r="W858" s="20">
        <v>0</v>
      </c>
      <c r="Z858" s="15">
        <v>101</v>
      </c>
      <c r="AD858" s="1">
        <v>3.3501517018566598</v>
      </c>
      <c r="AE858" s="37" t="s">
        <v>109</v>
      </c>
      <c r="AF858" s="22"/>
    </row>
    <row r="859" spans="1:32" x14ac:dyDescent="0.2">
      <c r="A859" s="1">
        <v>1041</v>
      </c>
      <c r="D859" s="1" t="s">
        <v>9</v>
      </c>
      <c r="E859" s="1" t="s">
        <v>25</v>
      </c>
      <c r="F859" s="15">
        <v>0.5</v>
      </c>
      <c r="G859" s="15">
        <v>0</v>
      </c>
      <c r="H859" s="15">
        <v>0.8</v>
      </c>
      <c r="I859" s="15">
        <f t="shared" si="53"/>
        <v>0.5</v>
      </c>
      <c r="O859" s="18">
        <v>35.020891364902504</v>
      </c>
      <c r="Q859" s="66" t="s">
        <v>1</v>
      </c>
      <c r="R859" s="20" t="str">
        <f t="shared" si="52"/>
        <v>horizontal</v>
      </c>
      <c r="S859" s="19">
        <v>-0.15</v>
      </c>
      <c r="T859" s="19">
        <v>0</v>
      </c>
      <c r="U859" s="19">
        <v>0</v>
      </c>
      <c r="V859" s="20">
        <v>1</v>
      </c>
      <c r="W859" s="20">
        <v>0</v>
      </c>
      <c r="Z859" s="15">
        <v>101</v>
      </c>
      <c r="AD859" s="1">
        <v>3.5531111824460702</v>
      </c>
      <c r="AE859" s="37" t="s">
        <v>109</v>
      </c>
      <c r="AF859" s="22"/>
    </row>
    <row r="860" spans="1:32" x14ac:dyDescent="0.2">
      <c r="A860" s="1">
        <v>1042</v>
      </c>
      <c r="D860" s="1" t="s">
        <v>9</v>
      </c>
      <c r="E860" s="1" t="s">
        <v>25</v>
      </c>
      <c r="F860" s="15">
        <v>0.5</v>
      </c>
      <c r="G860" s="15">
        <v>0</v>
      </c>
      <c r="H860" s="15">
        <v>0.8</v>
      </c>
      <c r="I860" s="15">
        <f t="shared" si="53"/>
        <v>0.5</v>
      </c>
      <c r="O860" s="18">
        <v>37.005571030640603</v>
      </c>
      <c r="Q860" s="66" t="s">
        <v>1</v>
      </c>
      <c r="R860" s="20" t="str">
        <f t="shared" si="52"/>
        <v>horizontal</v>
      </c>
      <c r="S860" s="19">
        <v>-0.15</v>
      </c>
      <c r="T860" s="19">
        <v>0</v>
      </c>
      <c r="U860" s="19">
        <v>0</v>
      </c>
      <c r="V860" s="20">
        <v>1</v>
      </c>
      <c r="W860" s="20">
        <v>0</v>
      </c>
      <c r="Z860" s="15">
        <v>101</v>
      </c>
      <c r="AD860" s="1">
        <v>3.9047954354827001</v>
      </c>
      <c r="AE860" s="37" t="s">
        <v>109</v>
      </c>
      <c r="AF860" s="22"/>
    </row>
    <row r="861" spans="1:32" x14ac:dyDescent="0.2">
      <c r="A861" s="1">
        <v>1043</v>
      </c>
      <c r="D861" s="1" t="s">
        <v>9</v>
      </c>
      <c r="E861" s="1" t="s">
        <v>25</v>
      </c>
      <c r="F861" s="15">
        <v>0.5</v>
      </c>
      <c r="G861" s="15">
        <v>0</v>
      </c>
      <c r="H861" s="15">
        <v>0.8</v>
      </c>
      <c r="I861" s="15">
        <f t="shared" si="53"/>
        <v>0.5</v>
      </c>
      <c r="O861" s="18">
        <v>39.025069637883</v>
      </c>
      <c r="Q861" s="66" t="s">
        <v>1</v>
      </c>
      <c r="R861" s="20" t="str">
        <f t="shared" si="52"/>
        <v>horizontal</v>
      </c>
      <c r="S861" s="19">
        <v>-0.15</v>
      </c>
      <c r="T861" s="19">
        <v>0</v>
      </c>
      <c r="U861" s="19">
        <v>0</v>
      </c>
      <c r="V861" s="20">
        <v>1</v>
      </c>
      <c r="W861" s="20">
        <v>0</v>
      </c>
      <c r="Z861" s="15">
        <v>101</v>
      </c>
      <c r="AD861" s="1">
        <v>4.2192790796408799</v>
      </c>
      <c r="AE861" s="37" t="s">
        <v>109</v>
      </c>
      <c r="AF861" s="22"/>
    </row>
    <row r="862" spans="1:32" s="5" customFormat="1" ht="16" thickBot="1" x14ac:dyDescent="0.25">
      <c r="A862" s="1">
        <v>1044</v>
      </c>
      <c r="B862" s="24"/>
      <c r="D862" s="5" t="s">
        <v>9</v>
      </c>
      <c r="E862" s="5" t="s">
        <v>25</v>
      </c>
      <c r="F862" s="25">
        <v>0.5</v>
      </c>
      <c r="G862" s="25">
        <v>0</v>
      </c>
      <c r="H862" s="25">
        <v>0.8</v>
      </c>
      <c r="I862" s="25">
        <f t="shared" si="53"/>
        <v>0.5</v>
      </c>
      <c r="J862" s="26"/>
      <c r="K862" s="26"/>
      <c r="L862" s="26"/>
      <c r="M862" s="27"/>
      <c r="N862" s="28"/>
      <c r="O862" s="28">
        <v>41.009749303621099</v>
      </c>
      <c r="P862" s="29"/>
      <c r="Q862" s="65" t="s">
        <v>1</v>
      </c>
      <c r="R862" s="20" t="str">
        <f t="shared" si="52"/>
        <v>horizontal</v>
      </c>
      <c r="S862" s="30">
        <v>-0.15</v>
      </c>
      <c r="T862" s="30">
        <v>0</v>
      </c>
      <c r="U862" s="30">
        <v>0</v>
      </c>
      <c r="V862" s="31">
        <v>1</v>
      </c>
      <c r="W862" s="31">
        <v>0</v>
      </c>
      <c r="Y862" s="28"/>
      <c r="Z862" s="25">
        <v>101</v>
      </c>
      <c r="AA862" s="26"/>
      <c r="AB862" s="26"/>
      <c r="AC862" s="26"/>
      <c r="AD862" s="5">
        <v>4.5152012508931199</v>
      </c>
      <c r="AE862" s="33" t="s">
        <v>109</v>
      </c>
      <c r="AF862" s="22"/>
    </row>
    <row r="863" spans="1:32" s="3" customFormat="1" x14ac:dyDescent="0.2">
      <c r="A863" s="1">
        <v>1045</v>
      </c>
      <c r="B863" s="47"/>
      <c r="D863" s="3" t="s">
        <v>4</v>
      </c>
      <c r="E863" s="3" t="s">
        <v>25</v>
      </c>
      <c r="F863" s="34">
        <v>2.5</v>
      </c>
      <c r="G863" s="34">
        <v>0</v>
      </c>
      <c r="H863" s="34">
        <v>4</v>
      </c>
      <c r="I863" s="34">
        <f t="shared" si="53"/>
        <v>2.5</v>
      </c>
      <c r="J863" s="48"/>
      <c r="K863" s="48"/>
      <c r="L863" s="48"/>
      <c r="M863" s="49"/>
      <c r="N863" s="50"/>
      <c r="O863" s="50">
        <v>18</v>
      </c>
      <c r="P863" s="51"/>
      <c r="Q863" s="66" t="s">
        <v>1</v>
      </c>
      <c r="R863" s="20" t="s">
        <v>137</v>
      </c>
      <c r="S863" s="35">
        <v>-0.1</v>
      </c>
      <c r="T863" s="35">
        <v>0</v>
      </c>
      <c r="U863" s="35">
        <v>0</v>
      </c>
      <c r="V863" s="36">
        <f>3*10^-2</f>
        <v>0.03</v>
      </c>
      <c r="W863" s="36">
        <v>0</v>
      </c>
      <c r="Y863" s="50"/>
      <c r="Z863" s="34">
        <v>101</v>
      </c>
      <c r="AA863" s="48"/>
      <c r="AB863" s="48"/>
      <c r="AC863" s="48"/>
      <c r="AD863" s="3">
        <v>8.3743842364531994E-3</v>
      </c>
      <c r="AE863" s="37" t="s">
        <v>83</v>
      </c>
      <c r="AF863" s="22"/>
    </row>
    <row r="864" spans="1:32" x14ac:dyDescent="0.2">
      <c r="A864" s="1">
        <v>1046</v>
      </c>
      <c r="D864" s="1" t="s">
        <v>4</v>
      </c>
      <c r="E864" s="1" t="s">
        <v>25</v>
      </c>
      <c r="F864" s="15">
        <v>2.5</v>
      </c>
      <c r="G864" s="15">
        <v>0</v>
      </c>
      <c r="H864" s="15">
        <v>4</v>
      </c>
      <c r="I864" s="15">
        <f t="shared" ref="I864:I873" si="54">F864</f>
        <v>2.5</v>
      </c>
      <c r="O864" s="18">
        <v>18.968421052631498</v>
      </c>
      <c r="Q864" s="66" t="s">
        <v>1</v>
      </c>
      <c r="R864" s="20" t="str">
        <f t="shared" si="52"/>
        <v>vertical</v>
      </c>
      <c r="S864" s="19">
        <v>-0.1</v>
      </c>
      <c r="T864" s="19">
        <v>0</v>
      </c>
      <c r="U864" s="19">
        <v>0</v>
      </c>
      <c r="V864" s="20">
        <f t="shared" ref="V864:V872" si="55">3*10^-2</f>
        <v>0.03</v>
      </c>
      <c r="W864" s="20">
        <v>0</v>
      </c>
      <c r="Z864" s="15">
        <v>101</v>
      </c>
      <c r="AD864" s="1">
        <v>0.35135856883588201</v>
      </c>
      <c r="AE864" s="22" t="s">
        <v>83</v>
      </c>
      <c r="AF864" s="22"/>
    </row>
    <row r="865" spans="1:32" x14ac:dyDescent="0.2">
      <c r="A865" s="1">
        <v>1047</v>
      </c>
      <c r="D865" s="1" t="s">
        <v>4</v>
      </c>
      <c r="E865" s="1" t="s">
        <v>25</v>
      </c>
      <c r="F865" s="15">
        <v>2.5</v>
      </c>
      <c r="G865" s="15">
        <v>0</v>
      </c>
      <c r="H865" s="15">
        <v>4</v>
      </c>
      <c r="I865" s="15">
        <f t="shared" si="54"/>
        <v>2.5</v>
      </c>
      <c r="O865" s="18">
        <v>24</v>
      </c>
      <c r="Q865" s="66" t="s">
        <v>1</v>
      </c>
      <c r="R865" s="20" t="str">
        <f t="shared" si="52"/>
        <v>vertical</v>
      </c>
      <c r="S865" s="19">
        <v>-0.1</v>
      </c>
      <c r="T865" s="19">
        <v>0</v>
      </c>
      <c r="U865" s="19">
        <v>0</v>
      </c>
      <c r="V865" s="20">
        <f t="shared" si="55"/>
        <v>0.03</v>
      </c>
      <c r="W865" s="20">
        <v>0</v>
      </c>
      <c r="Z865" s="15">
        <v>101</v>
      </c>
      <c r="AD865" s="1">
        <v>0.56280788177339902</v>
      </c>
      <c r="AE865" s="22" t="s">
        <v>83</v>
      </c>
      <c r="AF865" s="22"/>
    </row>
    <row r="866" spans="1:32" x14ac:dyDescent="0.2">
      <c r="A866" s="1">
        <v>1048</v>
      </c>
      <c r="D866" s="1" t="s">
        <v>4</v>
      </c>
      <c r="E866" s="1" t="s">
        <v>25</v>
      </c>
      <c r="F866" s="15">
        <v>2.5</v>
      </c>
      <c r="G866" s="15">
        <v>0</v>
      </c>
      <c r="H866" s="15">
        <v>4</v>
      </c>
      <c r="I866" s="15">
        <f t="shared" si="54"/>
        <v>2.5</v>
      </c>
      <c r="O866" s="18">
        <v>25.010526315789399</v>
      </c>
      <c r="Q866" s="66" t="s">
        <v>1</v>
      </c>
      <c r="R866" s="20" t="str">
        <f t="shared" si="52"/>
        <v>vertical</v>
      </c>
      <c r="S866" s="19">
        <v>-0.1</v>
      </c>
      <c r="T866" s="19">
        <v>0</v>
      </c>
      <c r="U866" s="19">
        <v>0</v>
      </c>
      <c r="V866" s="20">
        <f t="shared" si="55"/>
        <v>0.03</v>
      </c>
      <c r="W866" s="20">
        <v>0</v>
      </c>
      <c r="Z866" s="15">
        <v>101</v>
      </c>
      <c r="AD866" s="1">
        <v>0.57302826030593701</v>
      </c>
      <c r="AE866" s="22" t="s">
        <v>83</v>
      </c>
      <c r="AF866" s="22"/>
    </row>
    <row r="867" spans="1:32" x14ac:dyDescent="0.2">
      <c r="A867" s="1">
        <v>1049</v>
      </c>
      <c r="D867" s="1" t="s">
        <v>4</v>
      </c>
      <c r="E867" s="1" t="s">
        <v>25</v>
      </c>
      <c r="F867" s="15">
        <v>2.5</v>
      </c>
      <c r="G867" s="15">
        <v>0</v>
      </c>
      <c r="H867" s="15">
        <v>4</v>
      </c>
      <c r="I867" s="15">
        <f t="shared" si="54"/>
        <v>2.5</v>
      </c>
      <c r="O867" s="18">
        <v>30.0210526315789</v>
      </c>
      <c r="Q867" s="66" t="s">
        <v>1</v>
      </c>
      <c r="R867" s="20" t="str">
        <f t="shared" si="52"/>
        <v>vertical</v>
      </c>
      <c r="S867" s="19">
        <v>-0.1</v>
      </c>
      <c r="T867" s="19">
        <v>0</v>
      </c>
      <c r="U867" s="19">
        <v>0</v>
      </c>
      <c r="V867" s="20">
        <f t="shared" si="55"/>
        <v>0.03</v>
      </c>
      <c r="W867" s="20">
        <v>0</v>
      </c>
      <c r="Z867" s="15">
        <v>101</v>
      </c>
      <c r="AD867" s="1">
        <v>0.71034223489758797</v>
      </c>
      <c r="AE867" s="22" t="s">
        <v>83</v>
      </c>
      <c r="AF867" s="22"/>
    </row>
    <row r="868" spans="1:32" x14ac:dyDescent="0.2">
      <c r="A868" s="1">
        <v>1050</v>
      </c>
      <c r="D868" s="1" t="s">
        <v>4</v>
      </c>
      <c r="E868" s="1" t="s">
        <v>25</v>
      </c>
      <c r="F868" s="15">
        <v>0.7</v>
      </c>
      <c r="G868" s="15">
        <v>0</v>
      </c>
      <c r="H868" s="15">
        <v>4</v>
      </c>
      <c r="I868" s="15">
        <f t="shared" si="54"/>
        <v>0.7</v>
      </c>
      <c r="O868" s="18">
        <v>20</v>
      </c>
      <c r="Q868" s="65" t="s">
        <v>1</v>
      </c>
      <c r="R868" s="20" t="str">
        <f t="shared" si="52"/>
        <v>vertical</v>
      </c>
      <c r="S868" s="19">
        <v>-0.1</v>
      </c>
      <c r="T868" s="19">
        <v>0</v>
      </c>
      <c r="U868" s="19">
        <v>0</v>
      </c>
      <c r="V868" s="20">
        <f t="shared" si="55"/>
        <v>0.03</v>
      </c>
      <c r="W868" s="20">
        <v>0</v>
      </c>
      <c r="Z868" s="15">
        <v>101</v>
      </c>
      <c r="AD868" s="1">
        <v>1.2315270935958601E-3</v>
      </c>
      <c r="AE868" s="22" t="s">
        <v>83</v>
      </c>
      <c r="AF868" s="22"/>
    </row>
    <row r="869" spans="1:32" x14ac:dyDescent="0.2">
      <c r="A869" s="1">
        <v>1051</v>
      </c>
      <c r="D869" s="1" t="s">
        <v>4</v>
      </c>
      <c r="E869" s="1" t="s">
        <v>25</v>
      </c>
      <c r="F869" s="15">
        <v>0.7</v>
      </c>
      <c r="G869" s="15">
        <v>0</v>
      </c>
      <c r="H869" s="15">
        <v>4</v>
      </c>
      <c r="I869" s="15">
        <f t="shared" si="54"/>
        <v>0.7</v>
      </c>
      <c r="O869" s="18">
        <v>20.968421052631498</v>
      </c>
      <c r="Q869" s="66" t="s">
        <v>1</v>
      </c>
      <c r="R869" s="20" t="str">
        <f t="shared" si="52"/>
        <v>vertical</v>
      </c>
      <c r="S869" s="19">
        <v>-0.1</v>
      </c>
      <c r="T869" s="19">
        <v>0</v>
      </c>
      <c r="U869" s="19">
        <v>0</v>
      </c>
      <c r="V869" s="20">
        <f t="shared" si="55"/>
        <v>0.03</v>
      </c>
      <c r="W869" s="20">
        <v>0</v>
      </c>
      <c r="Z869" s="15">
        <v>101</v>
      </c>
      <c r="AD869" s="1">
        <v>0.22869847031371501</v>
      </c>
      <c r="AE869" s="22" t="s">
        <v>83</v>
      </c>
      <c r="AF869" s="22"/>
    </row>
    <row r="870" spans="1:32" x14ac:dyDescent="0.2">
      <c r="A870" s="1">
        <v>1052</v>
      </c>
      <c r="D870" s="1" t="s">
        <v>4</v>
      </c>
      <c r="E870" s="1" t="s">
        <v>25</v>
      </c>
      <c r="F870" s="15">
        <v>0.7</v>
      </c>
      <c r="G870" s="15">
        <v>0</v>
      </c>
      <c r="H870" s="15">
        <v>4</v>
      </c>
      <c r="I870" s="15">
        <f t="shared" si="54"/>
        <v>0.7</v>
      </c>
      <c r="O870" s="18">
        <v>22.989473684210498</v>
      </c>
      <c r="Q870" s="66" t="s">
        <v>1</v>
      </c>
      <c r="R870" s="20" t="str">
        <f t="shared" si="52"/>
        <v>vertical</v>
      </c>
      <c r="S870" s="19">
        <v>-0.1</v>
      </c>
      <c r="T870" s="19">
        <v>0</v>
      </c>
      <c r="U870" s="19">
        <v>0</v>
      </c>
      <c r="V870" s="20">
        <f t="shared" si="55"/>
        <v>0.03</v>
      </c>
      <c r="W870" s="20">
        <v>0</v>
      </c>
      <c r="Z870" s="15">
        <v>101</v>
      </c>
      <c r="AD870" s="1">
        <v>0.30775991703396399</v>
      </c>
      <c r="AE870" s="22" t="s">
        <v>83</v>
      </c>
      <c r="AF870" s="22"/>
    </row>
    <row r="871" spans="1:32" x14ac:dyDescent="0.2">
      <c r="A871" s="1">
        <v>1053</v>
      </c>
      <c r="D871" s="1" t="s">
        <v>4</v>
      </c>
      <c r="E871" s="1" t="s">
        <v>25</v>
      </c>
      <c r="F871" s="15">
        <v>0.7</v>
      </c>
      <c r="G871" s="15">
        <v>0</v>
      </c>
      <c r="H871" s="15">
        <v>4</v>
      </c>
      <c r="I871" s="15">
        <f t="shared" si="54"/>
        <v>0.7</v>
      </c>
      <c r="O871" s="18">
        <v>25.010526315789399</v>
      </c>
      <c r="Q871" s="66" t="s">
        <v>1</v>
      </c>
      <c r="R871" s="20" t="str">
        <f t="shared" si="52"/>
        <v>vertical</v>
      </c>
      <c r="S871" s="19">
        <v>-0.1</v>
      </c>
      <c r="T871" s="19">
        <v>0</v>
      </c>
      <c r="U871" s="19">
        <v>0</v>
      </c>
      <c r="V871" s="20">
        <f t="shared" si="55"/>
        <v>0.03</v>
      </c>
      <c r="W871" s="20">
        <v>0</v>
      </c>
      <c r="Z871" s="15">
        <v>101</v>
      </c>
      <c r="AD871" s="1">
        <v>0.45751101892662599</v>
      </c>
      <c r="AE871" s="22" t="s">
        <v>83</v>
      </c>
      <c r="AF871" s="22"/>
    </row>
    <row r="872" spans="1:32" s="5" customFormat="1" ht="16" thickBot="1" x14ac:dyDescent="0.25">
      <c r="A872" s="1">
        <v>1054</v>
      </c>
      <c r="B872" s="24"/>
      <c r="D872" s="5" t="s">
        <v>4</v>
      </c>
      <c r="E872" s="5" t="s">
        <v>25</v>
      </c>
      <c r="F872" s="25">
        <v>0.7</v>
      </c>
      <c r="G872" s="25">
        <v>0</v>
      </c>
      <c r="H872" s="25">
        <v>4</v>
      </c>
      <c r="I872" s="25">
        <f t="shared" si="54"/>
        <v>0.7</v>
      </c>
      <c r="J872" s="26"/>
      <c r="K872" s="26"/>
      <c r="L872" s="26"/>
      <c r="M872" s="27"/>
      <c r="N872" s="28"/>
      <c r="O872" s="28">
        <v>30.0210526315789</v>
      </c>
      <c r="P872" s="29"/>
      <c r="Q872" s="66" t="s">
        <v>1</v>
      </c>
      <c r="R872" s="20" t="str">
        <f t="shared" si="52"/>
        <v>vertical</v>
      </c>
      <c r="S872" s="30">
        <v>-0.1</v>
      </c>
      <c r="T872" s="30">
        <v>0</v>
      </c>
      <c r="U872" s="30">
        <v>0</v>
      </c>
      <c r="V872" s="31">
        <f t="shared" si="55"/>
        <v>0.03</v>
      </c>
      <c r="W872" s="31">
        <v>0</v>
      </c>
      <c r="Y872" s="28"/>
      <c r="Z872" s="25">
        <v>101</v>
      </c>
      <c r="AA872" s="26"/>
      <c r="AB872" s="26"/>
      <c r="AC872" s="26"/>
      <c r="AD872" s="5">
        <v>0.64827326938034702</v>
      </c>
      <c r="AE872" s="33" t="s">
        <v>83</v>
      </c>
      <c r="AF872" s="22"/>
    </row>
    <row r="873" spans="1:32" s="3" customFormat="1" x14ac:dyDescent="0.2">
      <c r="A873" s="1">
        <v>1055</v>
      </c>
      <c r="B873" s="47"/>
      <c r="D873" s="3" t="s">
        <v>4</v>
      </c>
      <c r="E873" s="3" t="s">
        <v>25</v>
      </c>
      <c r="F873" s="34">
        <v>0.5</v>
      </c>
      <c r="G873" s="34">
        <v>0</v>
      </c>
      <c r="H873" s="34">
        <v>0.8</v>
      </c>
      <c r="I873" s="34">
        <f t="shared" si="54"/>
        <v>0.5</v>
      </c>
      <c r="J873" s="48"/>
      <c r="K873" s="48"/>
      <c r="L873" s="48"/>
      <c r="M873" s="49"/>
      <c r="N873" s="50"/>
      <c r="O873" s="50">
        <v>16.399999999999999</v>
      </c>
      <c r="P873" s="51"/>
      <c r="Q873" s="66" t="s">
        <v>1</v>
      </c>
      <c r="R873" s="20" t="str">
        <f t="shared" si="52"/>
        <v>vertical</v>
      </c>
      <c r="S873" s="35">
        <v>-0.04</v>
      </c>
      <c r="T873" s="35">
        <v>0</v>
      </c>
      <c r="U873" s="35">
        <v>0</v>
      </c>
      <c r="V873" s="36">
        <v>1</v>
      </c>
      <c r="W873" s="36">
        <v>0</v>
      </c>
      <c r="Y873" s="50"/>
      <c r="Z873" s="34">
        <v>101</v>
      </c>
      <c r="AA873" s="48"/>
      <c r="AB873" s="48"/>
      <c r="AC873" s="48"/>
      <c r="AD873" s="3">
        <v>2.3133214920071001</v>
      </c>
      <c r="AE873" s="37" t="s">
        <v>84</v>
      </c>
      <c r="AF873" s="22"/>
    </row>
    <row r="874" spans="1:32" x14ac:dyDescent="0.2">
      <c r="A874" s="1">
        <v>1056</v>
      </c>
      <c r="D874" s="1" t="s">
        <v>4</v>
      </c>
      <c r="E874" s="1" t="s">
        <v>25</v>
      </c>
      <c r="F874" s="15">
        <v>0.5</v>
      </c>
      <c r="G874" s="15">
        <v>0</v>
      </c>
      <c r="H874" s="15">
        <v>0.8</v>
      </c>
      <c r="I874" s="15">
        <f t="shared" ref="I874:I903" si="56">F874</f>
        <v>0.5</v>
      </c>
      <c r="O874" s="18">
        <v>16.600000000000001</v>
      </c>
      <c r="Q874" s="65" t="s">
        <v>1</v>
      </c>
      <c r="R874" s="20" t="str">
        <f t="shared" si="52"/>
        <v>vertical</v>
      </c>
      <c r="S874" s="19">
        <v>-0.04</v>
      </c>
      <c r="T874" s="19">
        <v>0</v>
      </c>
      <c r="U874" s="19">
        <v>0</v>
      </c>
      <c r="V874" s="20">
        <v>1</v>
      </c>
      <c r="W874" s="20">
        <v>0</v>
      </c>
      <c r="Z874" s="15">
        <v>101</v>
      </c>
      <c r="AD874" s="1">
        <v>2.8465364120781498</v>
      </c>
      <c r="AE874" s="22" t="s">
        <v>84</v>
      </c>
      <c r="AF874" s="22"/>
    </row>
    <row r="875" spans="1:32" x14ac:dyDescent="0.2">
      <c r="A875" s="1">
        <v>1057</v>
      </c>
      <c r="D875" s="1" t="s">
        <v>4</v>
      </c>
      <c r="E875" s="1" t="s">
        <v>25</v>
      </c>
      <c r="F875" s="15">
        <v>0.5</v>
      </c>
      <c r="G875" s="15">
        <v>0</v>
      </c>
      <c r="H875" s="15">
        <v>0.8</v>
      </c>
      <c r="I875" s="15">
        <f t="shared" si="56"/>
        <v>0.5</v>
      </c>
      <c r="O875" s="18">
        <v>16.8</v>
      </c>
      <c r="Q875" s="66" t="s">
        <v>1</v>
      </c>
      <c r="R875" s="20" t="str">
        <f t="shared" si="52"/>
        <v>vertical</v>
      </c>
      <c r="S875" s="19">
        <v>-0.04</v>
      </c>
      <c r="T875" s="19">
        <v>0</v>
      </c>
      <c r="U875" s="19">
        <v>0</v>
      </c>
      <c r="V875" s="20">
        <v>1</v>
      </c>
      <c r="W875" s="20">
        <v>0</v>
      </c>
      <c r="Z875" s="15">
        <v>101</v>
      </c>
      <c r="AD875" s="1">
        <v>3.3442273534635798</v>
      </c>
      <c r="AE875" s="22" t="s">
        <v>84</v>
      </c>
      <c r="AF875" s="22"/>
    </row>
    <row r="876" spans="1:32" x14ac:dyDescent="0.2">
      <c r="A876" s="1">
        <v>1058</v>
      </c>
      <c r="D876" s="1" t="s">
        <v>4</v>
      </c>
      <c r="E876" s="1" t="s">
        <v>25</v>
      </c>
      <c r="F876" s="15">
        <v>0.5</v>
      </c>
      <c r="G876" s="15">
        <v>0</v>
      </c>
      <c r="H876" s="15">
        <v>0.8</v>
      </c>
      <c r="I876" s="15">
        <f t="shared" si="56"/>
        <v>0.5</v>
      </c>
      <c r="O876" s="18">
        <v>17</v>
      </c>
      <c r="Q876" s="66" t="s">
        <v>1</v>
      </c>
      <c r="R876" s="20" t="str">
        <f t="shared" si="52"/>
        <v>vertical</v>
      </c>
      <c r="S876" s="19">
        <v>-0.04</v>
      </c>
      <c r="T876" s="19">
        <v>0</v>
      </c>
      <c r="U876" s="19">
        <v>0</v>
      </c>
      <c r="V876" s="20">
        <v>1</v>
      </c>
      <c r="W876" s="20">
        <v>0</v>
      </c>
      <c r="Z876" s="15">
        <v>101</v>
      </c>
      <c r="AD876" s="1">
        <v>3.7353463587921798</v>
      </c>
      <c r="AE876" s="22" t="s">
        <v>84</v>
      </c>
      <c r="AF876" s="22"/>
    </row>
    <row r="877" spans="1:32" x14ac:dyDescent="0.2">
      <c r="A877" s="1">
        <v>1059</v>
      </c>
      <c r="D877" s="1" t="s">
        <v>4</v>
      </c>
      <c r="E877" s="1" t="s">
        <v>25</v>
      </c>
      <c r="F877" s="15">
        <v>0.5</v>
      </c>
      <c r="G877" s="15">
        <v>0</v>
      </c>
      <c r="H877" s="15">
        <v>0.8</v>
      </c>
      <c r="I877" s="15">
        <f t="shared" si="56"/>
        <v>0.5</v>
      </c>
      <c r="O877" s="18">
        <v>18</v>
      </c>
      <c r="Q877" s="66" t="s">
        <v>1</v>
      </c>
      <c r="R877" s="20" t="str">
        <f t="shared" si="52"/>
        <v>vertical</v>
      </c>
      <c r="S877" s="19">
        <v>-0.04</v>
      </c>
      <c r="T877" s="19">
        <v>0</v>
      </c>
      <c r="U877" s="19">
        <v>0</v>
      </c>
      <c r="V877" s="20">
        <v>1</v>
      </c>
      <c r="W877" s="20">
        <v>0</v>
      </c>
      <c r="Z877" s="15">
        <v>101</v>
      </c>
      <c r="AD877" s="1">
        <v>4.5719360568383598</v>
      </c>
      <c r="AE877" s="22" t="s">
        <v>84</v>
      </c>
      <c r="AF877" s="22"/>
    </row>
    <row r="878" spans="1:32" x14ac:dyDescent="0.2">
      <c r="A878" s="1">
        <v>1060</v>
      </c>
      <c r="D878" s="1" t="s">
        <v>4</v>
      </c>
      <c r="E878" s="1" t="s">
        <v>25</v>
      </c>
      <c r="F878" s="15">
        <v>0.5</v>
      </c>
      <c r="G878" s="15">
        <v>0</v>
      </c>
      <c r="H878" s="15">
        <v>0.8</v>
      </c>
      <c r="I878" s="15">
        <f t="shared" si="56"/>
        <v>0.5</v>
      </c>
      <c r="O878" s="18">
        <v>18.983333333333299</v>
      </c>
      <c r="Q878" s="66" t="s">
        <v>1</v>
      </c>
      <c r="R878" s="20" t="str">
        <f t="shared" si="52"/>
        <v>vertical</v>
      </c>
      <c r="S878" s="19">
        <v>-0.04</v>
      </c>
      <c r="T878" s="19">
        <v>0</v>
      </c>
      <c r="U878" s="19">
        <v>0</v>
      </c>
      <c r="V878" s="20">
        <v>1</v>
      </c>
      <c r="W878" s="20">
        <v>0</v>
      </c>
      <c r="Z878" s="15">
        <v>101</v>
      </c>
      <c r="AD878" s="1">
        <v>6.0124037892243898</v>
      </c>
      <c r="AE878" s="22" t="s">
        <v>84</v>
      </c>
      <c r="AF878" s="22"/>
    </row>
    <row r="879" spans="1:32" x14ac:dyDescent="0.2">
      <c r="A879" s="1">
        <v>1061</v>
      </c>
      <c r="D879" s="1" t="s">
        <v>4</v>
      </c>
      <c r="E879" s="1" t="s">
        <v>25</v>
      </c>
      <c r="F879" s="15">
        <v>0.5</v>
      </c>
      <c r="G879" s="15">
        <v>0</v>
      </c>
      <c r="H879" s="15">
        <v>0.8</v>
      </c>
      <c r="I879" s="15">
        <f t="shared" si="56"/>
        <v>0.5</v>
      </c>
      <c r="O879" s="18">
        <v>20.016666666666602</v>
      </c>
      <c r="Q879" s="66" t="s">
        <v>1</v>
      </c>
      <c r="R879" s="20" t="str">
        <f t="shared" si="52"/>
        <v>vertical</v>
      </c>
      <c r="S879" s="19">
        <v>-0.04</v>
      </c>
      <c r="T879" s="19">
        <v>0</v>
      </c>
      <c r="U879" s="19">
        <v>0</v>
      </c>
      <c r="V879" s="20">
        <v>1</v>
      </c>
      <c r="W879" s="20">
        <v>0</v>
      </c>
      <c r="Z879" s="15">
        <v>101</v>
      </c>
      <c r="AD879" s="1">
        <v>6.7602427471876796</v>
      </c>
      <c r="AE879" s="22" t="s">
        <v>84</v>
      </c>
      <c r="AF879" s="22"/>
    </row>
    <row r="880" spans="1:32" x14ac:dyDescent="0.2">
      <c r="A880" s="1">
        <v>1062</v>
      </c>
      <c r="D880" s="1" t="s">
        <v>4</v>
      </c>
      <c r="E880" s="1" t="s">
        <v>25</v>
      </c>
      <c r="F880" s="15">
        <v>0.5</v>
      </c>
      <c r="G880" s="15">
        <v>0</v>
      </c>
      <c r="H880" s="15">
        <v>0.8</v>
      </c>
      <c r="I880" s="15">
        <f t="shared" si="56"/>
        <v>0.5</v>
      </c>
      <c r="O880" s="18">
        <v>20.983333333333299</v>
      </c>
      <c r="Q880" s="65" t="s">
        <v>1</v>
      </c>
      <c r="R880" s="20" t="str">
        <f t="shared" si="52"/>
        <v>vertical</v>
      </c>
      <c r="S880" s="19">
        <v>-0.04</v>
      </c>
      <c r="T880" s="19">
        <v>0</v>
      </c>
      <c r="U880" s="19">
        <v>0</v>
      </c>
      <c r="V880" s="20">
        <v>1</v>
      </c>
      <c r="W880" s="20">
        <v>0</v>
      </c>
      <c r="Z880" s="15">
        <v>101</v>
      </c>
      <c r="AD880" s="1">
        <v>7.3481053878034297</v>
      </c>
      <c r="AE880" s="22" t="s">
        <v>84</v>
      </c>
      <c r="AF880" s="22"/>
    </row>
    <row r="881" spans="1:32" x14ac:dyDescent="0.2">
      <c r="A881" s="1">
        <v>1063</v>
      </c>
      <c r="D881" s="1" t="s">
        <v>4</v>
      </c>
      <c r="E881" s="1" t="s">
        <v>25</v>
      </c>
      <c r="F881" s="15">
        <v>0.5</v>
      </c>
      <c r="G881" s="15">
        <v>0</v>
      </c>
      <c r="H881" s="15">
        <v>0.8</v>
      </c>
      <c r="I881" s="15">
        <f t="shared" si="56"/>
        <v>0.5</v>
      </c>
      <c r="O881" s="18">
        <v>22.983333333333299</v>
      </c>
      <c r="Q881" s="66" t="s">
        <v>1</v>
      </c>
      <c r="R881" s="20" t="str">
        <f t="shared" si="52"/>
        <v>vertical</v>
      </c>
      <c r="S881" s="19">
        <v>-0.04</v>
      </c>
      <c r="T881" s="19">
        <v>0</v>
      </c>
      <c r="U881" s="19">
        <v>0</v>
      </c>
      <c r="V881" s="20">
        <v>1</v>
      </c>
      <c r="W881" s="20">
        <v>0</v>
      </c>
      <c r="Z881" s="15">
        <v>101</v>
      </c>
      <c r="AD881" s="1">
        <v>8.1331853167554709</v>
      </c>
      <c r="AE881" s="22" t="s">
        <v>84</v>
      </c>
      <c r="AF881" s="22"/>
    </row>
    <row r="882" spans="1:32" x14ac:dyDescent="0.2">
      <c r="A882" s="1">
        <v>1064</v>
      </c>
      <c r="D882" s="1" t="s">
        <v>4</v>
      </c>
      <c r="E882" s="1" t="s">
        <v>25</v>
      </c>
      <c r="F882" s="15">
        <v>0.5</v>
      </c>
      <c r="G882" s="15">
        <v>0</v>
      </c>
      <c r="H882" s="15">
        <v>0.8</v>
      </c>
      <c r="I882" s="15">
        <f t="shared" si="56"/>
        <v>0.5</v>
      </c>
      <c r="O882" s="18">
        <v>25</v>
      </c>
      <c r="Q882" s="66" t="s">
        <v>1</v>
      </c>
      <c r="R882" s="20" t="str">
        <f t="shared" si="52"/>
        <v>vertical</v>
      </c>
      <c r="S882" s="19">
        <v>-0.04</v>
      </c>
      <c r="T882" s="19">
        <v>0</v>
      </c>
      <c r="U882" s="19">
        <v>0</v>
      </c>
      <c r="V882" s="20">
        <v>1</v>
      </c>
      <c r="W882" s="20">
        <v>0</v>
      </c>
      <c r="Z882" s="15">
        <v>101</v>
      </c>
      <c r="AD882" s="1">
        <v>9.2380106571936</v>
      </c>
      <c r="AE882" s="22" t="s">
        <v>84</v>
      </c>
      <c r="AF882" s="22"/>
    </row>
    <row r="883" spans="1:32" x14ac:dyDescent="0.2">
      <c r="A883" s="1">
        <v>1065</v>
      </c>
      <c r="D883" s="1" t="s">
        <v>63</v>
      </c>
      <c r="E883" s="1" t="s">
        <v>25</v>
      </c>
      <c r="F883" s="15">
        <v>0.5</v>
      </c>
      <c r="G883" s="15">
        <v>0</v>
      </c>
      <c r="H883" s="15">
        <v>0.8</v>
      </c>
      <c r="I883" s="15">
        <f t="shared" si="56"/>
        <v>0.5</v>
      </c>
      <c r="O883" s="18">
        <v>18.3666666666666</v>
      </c>
      <c r="Q883" s="66" t="s">
        <v>1</v>
      </c>
      <c r="R883" s="20" t="str">
        <f t="shared" si="52"/>
        <v>vertical</v>
      </c>
      <c r="S883" s="19">
        <v>-0.04</v>
      </c>
      <c r="T883" s="19">
        <v>0</v>
      </c>
      <c r="U883" s="19">
        <v>0</v>
      </c>
      <c r="V883" s="20">
        <v>1</v>
      </c>
      <c r="W883" s="20">
        <v>0</v>
      </c>
      <c r="Z883" s="15">
        <v>101</v>
      </c>
      <c r="AD883" s="1">
        <v>1.6596210775606799</v>
      </c>
      <c r="AE883" s="22" t="s">
        <v>84</v>
      </c>
      <c r="AF883" s="22"/>
    </row>
    <row r="884" spans="1:32" x14ac:dyDescent="0.2">
      <c r="A884" s="1">
        <v>1066</v>
      </c>
      <c r="D884" s="1" t="s">
        <v>63</v>
      </c>
      <c r="E884" s="1" t="s">
        <v>25</v>
      </c>
      <c r="F884" s="15">
        <v>0.5</v>
      </c>
      <c r="G884" s="15">
        <v>0</v>
      </c>
      <c r="H884" s="15">
        <v>0.8</v>
      </c>
      <c r="I884" s="15">
        <f t="shared" si="56"/>
        <v>0.5</v>
      </c>
      <c r="O884" s="18">
        <v>18.5833333333333</v>
      </c>
      <c r="Q884" s="66" t="s">
        <v>1</v>
      </c>
      <c r="R884" s="20" t="str">
        <f t="shared" si="52"/>
        <v>vertical</v>
      </c>
      <c r="S884" s="19">
        <v>-0.04</v>
      </c>
      <c r="T884" s="19">
        <v>0</v>
      </c>
      <c r="U884" s="19">
        <v>0</v>
      </c>
      <c r="V884" s="20">
        <v>1</v>
      </c>
      <c r="W884" s="20">
        <v>0</v>
      </c>
      <c r="Z884" s="15">
        <v>101</v>
      </c>
      <c r="AD884" s="1">
        <v>1.80210183540556</v>
      </c>
      <c r="AE884" s="22" t="s">
        <v>84</v>
      </c>
      <c r="AF884" s="22"/>
    </row>
    <row r="885" spans="1:32" x14ac:dyDescent="0.2">
      <c r="A885" s="1">
        <v>1067</v>
      </c>
      <c r="D885" s="1" t="s">
        <v>63</v>
      </c>
      <c r="E885" s="1" t="s">
        <v>25</v>
      </c>
      <c r="F885" s="15">
        <v>0.5</v>
      </c>
      <c r="G885" s="15">
        <v>0</v>
      </c>
      <c r="H885" s="15">
        <v>0.8</v>
      </c>
      <c r="I885" s="15">
        <f t="shared" si="56"/>
        <v>0.5</v>
      </c>
      <c r="O885" s="18">
        <v>18.683333333333302</v>
      </c>
      <c r="Q885" s="66" t="s">
        <v>1</v>
      </c>
      <c r="R885" s="20" t="str">
        <f t="shared" si="52"/>
        <v>vertical</v>
      </c>
      <c r="S885" s="19">
        <v>-0.04</v>
      </c>
      <c r="T885" s="19">
        <v>0</v>
      </c>
      <c r="U885" s="19">
        <v>0</v>
      </c>
      <c r="V885" s="20">
        <v>1</v>
      </c>
      <c r="W885" s="20">
        <v>0</v>
      </c>
      <c r="Z885" s="15">
        <v>101</v>
      </c>
      <c r="AD885" s="1">
        <v>1.80227945529899</v>
      </c>
      <c r="AE885" s="22" t="s">
        <v>84</v>
      </c>
      <c r="AF885" s="22"/>
    </row>
    <row r="886" spans="1:32" x14ac:dyDescent="0.2">
      <c r="A886" s="1">
        <v>1068</v>
      </c>
      <c r="D886" s="1" t="s">
        <v>63</v>
      </c>
      <c r="E886" s="1" t="s">
        <v>25</v>
      </c>
      <c r="F886" s="15">
        <v>0.5</v>
      </c>
      <c r="G886" s="15">
        <v>0</v>
      </c>
      <c r="H886" s="15">
        <v>0.8</v>
      </c>
      <c r="I886" s="15">
        <f t="shared" si="56"/>
        <v>0.5</v>
      </c>
      <c r="O886" s="18">
        <v>19</v>
      </c>
      <c r="Q886" s="65" t="s">
        <v>1</v>
      </c>
      <c r="R886" s="20" t="str">
        <f t="shared" si="52"/>
        <v>vertical</v>
      </c>
      <c r="S886" s="19">
        <v>-0.04</v>
      </c>
      <c r="T886" s="19">
        <v>0</v>
      </c>
      <c r="U886" s="19">
        <v>0</v>
      </c>
      <c r="V886" s="20">
        <v>1</v>
      </c>
      <c r="W886" s="20">
        <v>0</v>
      </c>
      <c r="Z886" s="15">
        <v>101</v>
      </c>
      <c r="AD886" s="1">
        <v>1.8916518650088801</v>
      </c>
      <c r="AE886" s="22" t="s">
        <v>84</v>
      </c>
      <c r="AF886" s="22"/>
    </row>
    <row r="887" spans="1:32" x14ac:dyDescent="0.2">
      <c r="A887" s="1">
        <v>1069</v>
      </c>
      <c r="D887" s="1" t="s">
        <v>63</v>
      </c>
      <c r="E887" s="1" t="s">
        <v>25</v>
      </c>
      <c r="F887" s="15">
        <v>0.5</v>
      </c>
      <c r="G887" s="15">
        <v>0</v>
      </c>
      <c r="H887" s="15">
        <v>0.8</v>
      </c>
      <c r="I887" s="15">
        <f t="shared" si="56"/>
        <v>0.5</v>
      </c>
      <c r="O887" s="18">
        <v>20</v>
      </c>
      <c r="Q887" s="66" t="s">
        <v>1</v>
      </c>
      <c r="R887" s="20" t="str">
        <f t="shared" si="52"/>
        <v>vertical</v>
      </c>
      <c r="S887" s="19">
        <v>-0.04</v>
      </c>
      <c r="T887" s="19">
        <v>0</v>
      </c>
      <c r="U887" s="19">
        <v>0</v>
      </c>
      <c r="V887" s="20">
        <v>1</v>
      </c>
      <c r="W887" s="20">
        <v>0</v>
      </c>
      <c r="Z887" s="15">
        <v>101</v>
      </c>
      <c r="AD887" s="1">
        <v>2.2664298401420901</v>
      </c>
      <c r="AE887" s="22" t="s">
        <v>84</v>
      </c>
      <c r="AF887" s="22"/>
    </row>
    <row r="888" spans="1:32" x14ac:dyDescent="0.2">
      <c r="A888" s="1">
        <v>1070</v>
      </c>
      <c r="D888" s="1" t="s">
        <v>63</v>
      </c>
      <c r="E888" s="1" t="s">
        <v>25</v>
      </c>
      <c r="F888" s="15">
        <v>0.5</v>
      </c>
      <c r="G888" s="15">
        <v>0</v>
      </c>
      <c r="H888" s="15">
        <v>0.8</v>
      </c>
      <c r="I888" s="15">
        <f t="shared" si="56"/>
        <v>0.5</v>
      </c>
      <c r="O888" s="18">
        <v>21</v>
      </c>
      <c r="Q888" s="66" t="s">
        <v>1</v>
      </c>
      <c r="R888" s="20" t="str">
        <f t="shared" si="52"/>
        <v>vertical</v>
      </c>
      <c r="S888" s="19">
        <v>-0.04</v>
      </c>
      <c r="T888" s="19">
        <v>0</v>
      </c>
      <c r="U888" s="19">
        <v>0</v>
      </c>
      <c r="V888" s="20">
        <v>1</v>
      </c>
      <c r="W888" s="20">
        <v>0</v>
      </c>
      <c r="Z888" s="15">
        <v>101</v>
      </c>
      <c r="AD888" s="1">
        <v>2.5168738898756602</v>
      </c>
      <c r="AE888" s="22" t="s">
        <v>84</v>
      </c>
      <c r="AF888" s="22"/>
    </row>
    <row r="889" spans="1:32" x14ac:dyDescent="0.2">
      <c r="A889" s="1">
        <v>1071</v>
      </c>
      <c r="D889" s="1" t="s">
        <v>63</v>
      </c>
      <c r="E889" s="1" t="s">
        <v>25</v>
      </c>
      <c r="F889" s="15">
        <v>0.5</v>
      </c>
      <c r="G889" s="15">
        <v>0</v>
      </c>
      <c r="H889" s="15">
        <v>0.8</v>
      </c>
      <c r="I889" s="15">
        <f t="shared" si="56"/>
        <v>0.5</v>
      </c>
      <c r="O889" s="18">
        <v>23</v>
      </c>
      <c r="Q889" s="66" t="s">
        <v>1</v>
      </c>
      <c r="R889" s="20" t="str">
        <f t="shared" si="52"/>
        <v>vertical</v>
      </c>
      <c r="S889" s="19">
        <v>-0.04</v>
      </c>
      <c r="T889" s="19">
        <v>0</v>
      </c>
      <c r="U889" s="19">
        <v>0</v>
      </c>
      <c r="V889" s="20">
        <v>1</v>
      </c>
      <c r="W889" s="20">
        <v>0</v>
      </c>
      <c r="Z889" s="15">
        <v>101</v>
      </c>
      <c r="AD889" s="1">
        <v>2.7690941385435099</v>
      </c>
      <c r="AE889" s="22" t="s">
        <v>84</v>
      </c>
      <c r="AF889" s="22"/>
    </row>
    <row r="890" spans="1:32" x14ac:dyDescent="0.2">
      <c r="A890" s="1">
        <v>1072</v>
      </c>
      <c r="D890" s="1" t="s">
        <v>63</v>
      </c>
      <c r="E890" s="1" t="s">
        <v>25</v>
      </c>
      <c r="F890" s="15">
        <v>0.5</v>
      </c>
      <c r="G890" s="15">
        <v>0</v>
      </c>
      <c r="H890" s="15">
        <v>0.8</v>
      </c>
      <c r="I890" s="15">
        <f t="shared" si="56"/>
        <v>0.5</v>
      </c>
      <c r="O890" s="18">
        <v>25.016666666666602</v>
      </c>
      <c r="Q890" s="66" t="s">
        <v>1</v>
      </c>
      <c r="R890" s="20" t="str">
        <f t="shared" si="52"/>
        <v>vertical</v>
      </c>
      <c r="S890" s="19">
        <v>-0.04</v>
      </c>
      <c r="T890" s="19">
        <v>0</v>
      </c>
      <c r="U890" s="19">
        <v>0</v>
      </c>
      <c r="V890" s="20">
        <v>1</v>
      </c>
      <c r="W890" s="20">
        <v>0</v>
      </c>
      <c r="Z890" s="15">
        <v>101</v>
      </c>
      <c r="AD890" s="1">
        <v>3.07462995855535</v>
      </c>
      <c r="AE890" s="22" t="s">
        <v>84</v>
      </c>
      <c r="AF890" s="22"/>
    </row>
    <row r="891" spans="1:32" x14ac:dyDescent="0.2">
      <c r="A891" s="1">
        <v>1073</v>
      </c>
      <c r="D891" s="1" t="s">
        <v>9</v>
      </c>
      <c r="E891" s="1" t="s">
        <v>25</v>
      </c>
      <c r="F891" s="15">
        <v>0.5</v>
      </c>
      <c r="G891" s="15">
        <v>0</v>
      </c>
      <c r="H891" s="15">
        <v>0.8</v>
      </c>
      <c r="I891" s="15">
        <f t="shared" si="56"/>
        <v>0.5</v>
      </c>
      <c r="O891" s="18">
        <v>18.600000000000001</v>
      </c>
      <c r="Q891" s="66" t="s">
        <v>1</v>
      </c>
      <c r="R891" s="20" t="str">
        <f t="shared" si="52"/>
        <v>vertical</v>
      </c>
      <c r="S891" s="19">
        <v>-0.04</v>
      </c>
      <c r="T891" s="19">
        <v>0</v>
      </c>
      <c r="U891" s="19">
        <v>0</v>
      </c>
      <c r="V891" s="20">
        <v>1</v>
      </c>
      <c r="W891" s="20">
        <v>0</v>
      </c>
      <c r="Z891" s="15">
        <v>101</v>
      </c>
      <c r="AD891" s="1">
        <v>1.60674955595026</v>
      </c>
      <c r="AE891" s="22" t="s">
        <v>84</v>
      </c>
      <c r="AF891" s="22"/>
    </row>
    <row r="892" spans="1:32" x14ac:dyDescent="0.2">
      <c r="A892" s="1">
        <v>1074</v>
      </c>
      <c r="D892" s="1" t="s">
        <v>9</v>
      </c>
      <c r="E892" s="1" t="s">
        <v>25</v>
      </c>
      <c r="F892" s="15">
        <v>0.5</v>
      </c>
      <c r="G892" s="15">
        <v>0</v>
      </c>
      <c r="H892" s="15">
        <v>0.8</v>
      </c>
      <c r="I892" s="15">
        <f t="shared" si="56"/>
        <v>0.5</v>
      </c>
      <c r="O892" s="18">
        <v>18.716666666666601</v>
      </c>
      <c r="Q892" s="65" t="s">
        <v>1</v>
      </c>
      <c r="R892" s="20" t="str">
        <f t="shared" si="52"/>
        <v>vertical</v>
      </c>
      <c r="S892" s="19">
        <v>-0.04</v>
      </c>
      <c r="T892" s="19">
        <v>0</v>
      </c>
      <c r="U892" s="19">
        <v>0</v>
      </c>
      <c r="V892" s="20">
        <v>1</v>
      </c>
      <c r="W892" s="20">
        <v>0</v>
      </c>
      <c r="Z892" s="15">
        <v>101</v>
      </c>
      <c r="AD892" s="1">
        <v>1.6069567791592601</v>
      </c>
      <c r="AE892" s="22" t="s">
        <v>84</v>
      </c>
      <c r="AF892" s="22"/>
    </row>
    <row r="893" spans="1:32" x14ac:dyDescent="0.2">
      <c r="A893" s="1">
        <v>1075</v>
      </c>
      <c r="D893" s="1" t="s">
        <v>9</v>
      </c>
      <c r="E893" s="1" t="s">
        <v>25</v>
      </c>
      <c r="F893" s="15">
        <v>0.5</v>
      </c>
      <c r="G893" s="15">
        <v>0</v>
      </c>
      <c r="H893" s="15">
        <v>0.8</v>
      </c>
      <c r="I893" s="15">
        <f t="shared" si="56"/>
        <v>0.5</v>
      </c>
      <c r="O893" s="18">
        <v>18.8</v>
      </c>
      <c r="Q893" s="66" t="s">
        <v>1</v>
      </c>
      <c r="R893" s="20" t="str">
        <f t="shared" si="52"/>
        <v>vertical</v>
      </c>
      <c r="S893" s="19">
        <v>-0.04</v>
      </c>
      <c r="T893" s="19">
        <v>0</v>
      </c>
      <c r="U893" s="19">
        <v>0</v>
      </c>
      <c r="V893" s="20">
        <v>1</v>
      </c>
      <c r="W893" s="20">
        <v>0</v>
      </c>
      <c r="Z893" s="15">
        <v>101</v>
      </c>
      <c r="AD893" s="1">
        <v>1.6071047957371201</v>
      </c>
      <c r="AE893" s="22" t="s">
        <v>84</v>
      </c>
      <c r="AF893" s="22"/>
    </row>
    <row r="894" spans="1:32" x14ac:dyDescent="0.2">
      <c r="A894" s="1">
        <v>1076</v>
      </c>
      <c r="D894" s="1" t="s">
        <v>9</v>
      </c>
      <c r="E894" s="1" t="s">
        <v>25</v>
      </c>
      <c r="F894" s="15">
        <v>0.5</v>
      </c>
      <c r="G894" s="15">
        <v>0</v>
      </c>
      <c r="H894" s="15">
        <v>0.8</v>
      </c>
      <c r="I894" s="15">
        <f t="shared" si="56"/>
        <v>0.5</v>
      </c>
      <c r="O894" s="18">
        <v>19</v>
      </c>
      <c r="Q894" s="66" t="s">
        <v>1</v>
      </c>
      <c r="R894" s="20" t="str">
        <f t="shared" si="52"/>
        <v>vertical</v>
      </c>
      <c r="S894" s="19">
        <v>-0.04</v>
      </c>
      <c r="T894" s="19">
        <v>0</v>
      </c>
      <c r="U894" s="19">
        <v>0</v>
      </c>
      <c r="V894" s="20">
        <v>1</v>
      </c>
      <c r="W894" s="20">
        <v>0</v>
      </c>
      <c r="Z894" s="15">
        <v>101</v>
      </c>
      <c r="AD894" s="1">
        <v>1.7317939609236199</v>
      </c>
      <c r="AE894" s="22" t="s">
        <v>84</v>
      </c>
      <c r="AF894" s="22"/>
    </row>
    <row r="895" spans="1:32" x14ac:dyDescent="0.2">
      <c r="A895" s="1">
        <v>1077</v>
      </c>
      <c r="D895" s="1" t="s">
        <v>9</v>
      </c>
      <c r="E895" s="1" t="s">
        <v>25</v>
      </c>
      <c r="F895" s="15">
        <v>0.5</v>
      </c>
      <c r="G895" s="15">
        <v>0</v>
      </c>
      <c r="H895" s="15">
        <v>0.8</v>
      </c>
      <c r="I895" s="15">
        <f t="shared" si="56"/>
        <v>0.5</v>
      </c>
      <c r="O895" s="18">
        <v>19.2</v>
      </c>
      <c r="Q895" s="66" t="s">
        <v>1</v>
      </c>
      <c r="R895" s="20" t="str">
        <f t="shared" si="52"/>
        <v>vertical</v>
      </c>
      <c r="S895" s="19">
        <v>-0.04</v>
      </c>
      <c r="T895" s="19">
        <v>0</v>
      </c>
      <c r="U895" s="19">
        <v>0</v>
      </c>
      <c r="V895" s="20">
        <v>1</v>
      </c>
      <c r="W895" s="20">
        <v>0</v>
      </c>
      <c r="Z895" s="15">
        <v>101</v>
      </c>
      <c r="AD895" s="1">
        <v>1.8209591474245099</v>
      </c>
      <c r="AE895" s="22" t="s">
        <v>84</v>
      </c>
      <c r="AF895" s="22"/>
    </row>
    <row r="896" spans="1:32" x14ac:dyDescent="0.2">
      <c r="A896" s="1">
        <v>1078</v>
      </c>
      <c r="D896" s="1" t="s">
        <v>9</v>
      </c>
      <c r="E896" s="1" t="s">
        <v>25</v>
      </c>
      <c r="F896" s="15">
        <v>0.5</v>
      </c>
      <c r="G896" s="15">
        <v>0</v>
      </c>
      <c r="H896" s="15">
        <v>0.8</v>
      </c>
      <c r="I896" s="15">
        <f t="shared" si="56"/>
        <v>0.5</v>
      </c>
      <c r="O896" s="18">
        <v>19.399999999999999</v>
      </c>
      <c r="Q896" s="66" t="s">
        <v>1</v>
      </c>
      <c r="R896" s="20" t="str">
        <f t="shared" si="52"/>
        <v>vertical</v>
      </c>
      <c r="S896" s="19">
        <v>-0.04</v>
      </c>
      <c r="T896" s="19">
        <v>0</v>
      </c>
      <c r="U896" s="19">
        <v>0</v>
      </c>
      <c r="V896" s="20">
        <v>1</v>
      </c>
      <c r="W896" s="20">
        <v>0</v>
      </c>
      <c r="Z896" s="15">
        <v>101</v>
      </c>
      <c r="AD896" s="1">
        <v>1.82131438721136</v>
      </c>
      <c r="AE896" s="22" t="s">
        <v>84</v>
      </c>
      <c r="AF896" s="22"/>
    </row>
    <row r="897" spans="1:32" x14ac:dyDescent="0.2">
      <c r="A897" s="1">
        <v>1079</v>
      </c>
      <c r="D897" s="1" t="s">
        <v>9</v>
      </c>
      <c r="E897" s="1" t="s">
        <v>25</v>
      </c>
      <c r="F897" s="15">
        <v>0.5</v>
      </c>
      <c r="G897" s="15">
        <v>0</v>
      </c>
      <c r="H897" s="15">
        <v>0.8</v>
      </c>
      <c r="I897" s="15">
        <f t="shared" si="56"/>
        <v>0.5</v>
      </c>
      <c r="O897" s="18">
        <v>19.600000000000001</v>
      </c>
      <c r="Q897" s="65" t="s">
        <v>1</v>
      </c>
      <c r="R897" s="20" t="str">
        <f t="shared" si="52"/>
        <v>vertical</v>
      </c>
      <c r="S897" s="19">
        <v>-0.04</v>
      </c>
      <c r="T897" s="19">
        <v>0</v>
      </c>
      <c r="U897" s="19">
        <v>0</v>
      </c>
      <c r="V897" s="20">
        <v>1</v>
      </c>
      <c r="W897" s="20">
        <v>0</v>
      </c>
      <c r="Z897" s="15">
        <v>101</v>
      </c>
      <c r="AD897" s="1">
        <v>1.8571936056838301</v>
      </c>
      <c r="AE897" s="22" t="s">
        <v>84</v>
      </c>
      <c r="AF897" s="22"/>
    </row>
    <row r="898" spans="1:32" x14ac:dyDescent="0.2">
      <c r="A898" s="1">
        <v>1080</v>
      </c>
      <c r="D898" s="1" t="s">
        <v>9</v>
      </c>
      <c r="E898" s="1" t="s">
        <v>25</v>
      </c>
      <c r="F898" s="15">
        <v>0.5</v>
      </c>
      <c r="G898" s="15">
        <v>0</v>
      </c>
      <c r="H898" s="15">
        <v>0.8</v>
      </c>
      <c r="I898" s="15">
        <f t="shared" si="56"/>
        <v>0.5</v>
      </c>
      <c r="O898" s="18">
        <v>19.8</v>
      </c>
      <c r="Q898" s="66" t="s">
        <v>1</v>
      </c>
      <c r="R898" s="20" t="str">
        <f t="shared" si="52"/>
        <v>vertical</v>
      </c>
      <c r="S898" s="19">
        <v>-0.04</v>
      </c>
      <c r="T898" s="19">
        <v>0</v>
      </c>
      <c r="U898" s="19">
        <v>0</v>
      </c>
      <c r="V898" s="20">
        <v>1</v>
      </c>
      <c r="W898" s="20">
        <v>0</v>
      </c>
      <c r="Z898" s="15">
        <v>101</v>
      </c>
      <c r="AD898" s="1">
        <v>1.80426287744227</v>
      </c>
      <c r="AE898" s="22" t="s">
        <v>84</v>
      </c>
      <c r="AF898" s="22"/>
    </row>
    <row r="899" spans="1:32" x14ac:dyDescent="0.2">
      <c r="A899" s="1">
        <v>1081</v>
      </c>
      <c r="D899" s="1" t="s">
        <v>9</v>
      </c>
      <c r="E899" s="1" t="s">
        <v>25</v>
      </c>
      <c r="F899" s="15">
        <v>0.5</v>
      </c>
      <c r="G899" s="15">
        <v>0</v>
      </c>
      <c r="H899" s="15">
        <v>0.8</v>
      </c>
      <c r="I899" s="15">
        <f t="shared" si="56"/>
        <v>0.5</v>
      </c>
      <c r="O899" s="18">
        <v>20</v>
      </c>
      <c r="Q899" s="66" t="s">
        <v>1</v>
      </c>
      <c r="R899" s="20" t="str">
        <f t="shared" si="52"/>
        <v>vertical</v>
      </c>
      <c r="S899" s="19">
        <v>-0.04</v>
      </c>
      <c r="T899" s="19">
        <v>0</v>
      </c>
      <c r="U899" s="19">
        <v>0</v>
      </c>
      <c r="V899" s="20">
        <v>1</v>
      </c>
      <c r="W899" s="20">
        <v>0</v>
      </c>
      <c r="Z899" s="15">
        <v>101</v>
      </c>
      <c r="AD899" s="1">
        <v>1.8223801065719301</v>
      </c>
      <c r="AE899" s="22" t="s">
        <v>84</v>
      </c>
      <c r="AF899" s="22"/>
    </row>
    <row r="900" spans="1:32" x14ac:dyDescent="0.2">
      <c r="A900" s="1">
        <v>1082</v>
      </c>
      <c r="D900" s="1" t="s">
        <v>9</v>
      </c>
      <c r="E900" s="1" t="s">
        <v>25</v>
      </c>
      <c r="F900" s="15">
        <v>0.5</v>
      </c>
      <c r="G900" s="15">
        <v>0</v>
      </c>
      <c r="H900" s="15">
        <v>0.8</v>
      </c>
      <c r="I900" s="15">
        <f t="shared" si="56"/>
        <v>0.5</v>
      </c>
      <c r="O900" s="18">
        <v>21</v>
      </c>
      <c r="Q900" s="66" t="s">
        <v>1</v>
      </c>
      <c r="R900" s="20" t="str">
        <f t="shared" ref="R900:R963" si="57">R899</f>
        <v>vertical</v>
      </c>
      <c r="S900" s="19">
        <v>-0.04</v>
      </c>
      <c r="T900" s="19">
        <v>0</v>
      </c>
      <c r="U900" s="19">
        <v>0</v>
      </c>
      <c r="V900" s="20">
        <v>1</v>
      </c>
      <c r="W900" s="20">
        <v>0</v>
      </c>
      <c r="Z900" s="15">
        <v>101</v>
      </c>
      <c r="AD900" s="1">
        <v>2.3392539964475998</v>
      </c>
      <c r="AE900" s="22" t="s">
        <v>84</v>
      </c>
      <c r="AF900" s="22"/>
    </row>
    <row r="901" spans="1:32" x14ac:dyDescent="0.2">
      <c r="A901" s="1">
        <v>1083</v>
      </c>
      <c r="D901" s="1" t="s">
        <v>9</v>
      </c>
      <c r="E901" s="1" t="s">
        <v>25</v>
      </c>
      <c r="F901" s="15">
        <v>0.5</v>
      </c>
      <c r="G901" s="15">
        <v>0</v>
      </c>
      <c r="H901" s="15">
        <v>0.8</v>
      </c>
      <c r="I901" s="15">
        <f t="shared" si="56"/>
        <v>0.5</v>
      </c>
      <c r="O901" s="18">
        <v>23</v>
      </c>
      <c r="Q901" s="66" t="s">
        <v>1</v>
      </c>
      <c r="R901" s="20" t="str">
        <f t="shared" si="57"/>
        <v>vertical</v>
      </c>
      <c r="S901" s="19">
        <v>-0.04</v>
      </c>
      <c r="T901" s="19">
        <v>0</v>
      </c>
      <c r="U901" s="19">
        <v>0</v>
      </c>
      <c r="V901" s="20">
        <v>1</v>
      </c>
      <c r="W901" s="20">
        <v>0</v>
      </c>
      <c r="Z901" s="15">
        <v>101</v>
      </c>
      <c r="AD901" s="1">
        <v>2.5559502664298401</v>
      </c>
      <c r="AE901" s="22" t="s">
        <v>84</v>
      </c>
      <c r="AF901" s="22"/>
    </row>
    <row r="902" spans="1:32" s="5" customFormat="1" ht="16" thickBot="1" x14ac:dyDescent="0.25">
      <c r="A902" s="1">
        <v>1084</v>
      </c>
      <c r="B902" s="24"/>
      <c r="D902" s="5" t="s">
        <v>9</v>
      </c>
      <c r="E902" s="5" t="s">
        <v>25</v>
      </c>
      <c r="F902" s="25">
        <v>0.5</v>
      </c>
      <c r="G902" s="25">
        <v>0</v>
      </c>
      <c r="H902" s="25">
        <v>0.8</v>
      </c>
      <c r="I902" s="25">
        <f t="shared" si="56"/>
        <v>0.5</v>
      </c>
      <c r="J902" s="26"/>
      <c r="K902" s="26"/>
      <c r="L902" s="26"/>
      <c r="M902" s="27"/>
      <c r="N902" s="28"/>
      <c r="O902" s="28">
        <v>24.983333333333299</v>
      </c>
      <c r="P902" s="29"/>
      <c r="Q902" s="66" t="s">
        <v>1</v>
      </c>
      <c r="R902" s="20" t="str">
        <f t="shared" si="57"/>
        <v>vertical</v>
      </c>
      <c r="S902" s="30">
        <v>-0.04</v>
      </c>
      <c r="T902" s="30">
        <v>0</v>
      </c>
      <c r="U902" s="30">
        <v>0</v>
      </c>
      <c r="V902" s="31">
        <v>1</v>
      </c>
      <c r="W902" s="31">
        <v>0</v>
      </c>
      <c r="Y902" s="28"/>
      <c r="Z902" s="25">
        <v>101</v>
      </c>
      <c r="AA902" s="26"/>
      <c r="AB902" s="26"/>
      <c r="AC902" s="26"/>
      <c r="AD902" s="5">
        <v>2.8081409117821199</v>
      </c>
      <c r="AE902" s="33" t="s">
        <v>84</v>
      </c>
      <c r="AF902" s="22"/>
    </row>
    <row r="903" spans="1:32" s="3" customFormat="1" x14ac:dyDescent="0.2">
      <c r="A903" s="1">
        <v>1085</v>
      </c>
      <c r="B903" s="47"/>
      <c r="D903" s="3" t="s">
        <v>9</v>
      </c>
      <c r="E903" s="3" t="s">
        <v>25</v>
      </c>
      <c r="F903" s="34">
        <v>0.5</v>
      </c>
      <c r="G903" s="34">
        <v>0</v>
      </c>
      <c r="H903" s="34">
        <v>0.8</v>
      </c>
      <c r="I903" s="34">
        <f t="shared" si="56"/>
        <v>0.5</v>
      </c>
      <c r="J903" s="48"/>
      <c r="K903" s="48"/>
      <c r="L903" s="48"/>
      <c r="M903" s="49"/>
      <c r="N903" s="50"/>
      <c r="O903" s="50">
        <v>21</v>
      </c>
      <c r="P903" s="51"/>
      <c r="Q903" s="1" t="s">
        <v>33</v>
      </c>
      <c r="R903" s="20" t="s">
        <v>138</v>
      </c>
      <c r="S903" s="35">
        <v>0</v>
      </c>
      <c r="T903" s="35">
        <v>0</v>
      </c>
      <c r="U903" s="35">
        <v>0</v>
      </c>
      <c r="V903" s="36">
        <v>0.9999926609218257</v>
      </c>
      <c r="W903" s="36">
        <v>3.8312011806348298E-3</v>
      </c>
      <c r="Y903" s="50"/>
      <c r="Z903" s="34">
        <v>101</v>
      </c>
      <c r="AA903" s="48"/>
      <c r="AB903" s="48"/>
      <c r="AC903" s="48"/>
      <c r="AD903" s="3">
        <v>2.1589403973509902</v>
      </c>
      <c r="AE903" s="37" t="s">
        <v>85</v>
      </c>
      <c r="AF903" s="22"/>
    </row>
    <row r="904" spans="1:32" x14ac:dyDescent="0.2">
      <c r="A904" s="1">
        <v>1086</v>
      </c>
      <c r="D904" s="1" t="s">
        <v>9</v>
      </c>
      <c r="E904" s="1" t="s">
        <v>25</v>
      </c>
      <c r="F904" s="15">
        <v>0.5</v>
      </c>
      <c r="G904" s="15">
        <v>0</v>
      </c>
      <c r="H904" s="15">
        <v>0.8</v>
      </c>
      <c r="I904" s="15">
        <f t="shared" ref="I904:I920" si="58">F904</f>
        <v>0.5</v>
      </c>
      <c r="O904" s="18">
        <v>21</v>
      </c>
      <c r="Q904" s="1" t="s">
        <v>33</v>
      </c>
      <c r="R904" s="20" t="str">
        <f t="shared" si="57"/>
        <v>inclined</v>
      </c>
      <c r="S904" s="19">
        <v>0</v>
      </c>
      <c r="T904" s="19">
        <v>0</v>
      </c>
      <c r="U904" s="19">
        <v>0</v>
      </c>
      <c r="V904" s="20">
        <v>0.98582514220279005</v>
      </c>
      <c r="W904" s="20">
        <v>-0.16777600841851273</v>
      </c>
      <c r="Z904" s="15">
        <v>101</v>
      </c>
      <c r="AD904" s="1">
        <v>2.1059602649006601</v>
      </c>
      <c r="AE904" s="22" t="s">
        <v>85</v>
      </c>
      <c r="AF904" s="22"/>
    </row>
    <row r="905" spans="1:32" x14ac:dyDescent="0.2">
      <c r="A905" s="1">
        <v>1087</v>
      </c>
      <c r="D905" s="1" t="s">
        <v>9</v>
      </c>
      <c r="E905" s="1" t="s">
        <v>25</v>
      </c>
      <c r="F905" s="15">
        <v>0.5</v>
      </c>
      <c r="G905" s="15">
        <v>0</v>
      </c>
      <c r="H905" s="15">
        <v>0.8</v>
      </c>
      <c r="I905" s="15">
        <f t="shared" si="58"/>
        <v>0.5</v>
      </c>
      <c r="O905" s="18">
        <v>21</v>
      </c>
      <c r="Q905" s="1" t="s">
        <v>33</v>
      </c>
      <c r="R905" s="20" t="str">
        <f t="shared" si="57"/>
        <v>inclined</v>
      </c>
      <c r="S905" s="19">
        <v>0</v>
      </c>
      <c r="T905" s="19">
        <v>0</v>
      </c>
      <c r="U905" s="19">
        <v>0</v>
      </c>
      <c r="V905" s="20">
        <v>0.94114004797956163</v>
      </c>
      <c r="W905" s="20">
        <v>-0.33801687840850259</v>
      </c>
      <c r="Z905" s="15">
        <v>101</v>
      </c>
      <c r="AD905" s="1">
        <v>2.1192052980132399</v>
      </c>
      <c r="AE905" s="22" t="s">
        <v>85</v>
      </c>
      <c r="AF905" s="22"/>
    </row>
    <row r="906" spans="1:32" x14ac:dyDescent="0.2">
      <c r="A906" s="1">
        <v>1088</v>
      </c>
      <c r="D906" s="1" t="s">
        <v>9</v>
      </c>
      <c r="E906" s="1" t="s">
        <v>25</v>
      </c>
      <c r="F906" s="15">
        <v>0.5</v>
      </c>
      <c r="G906" s="15">
        <v>0</v>
      </c>
      <c r="H906" s="15">
        <v>0.8</v>
      </c>
      <c r="I906" s="15">
        <f t="shared" si="58"/>
        <v>0.5</v>
      </c>
      <c r="O906" s="18">
        <v>21</v>
      </c>
      <c r="Q906" s="1" t="s">
        <v>33</v>
      </c>
      <c r="R906" s="20" t="str">
        <f t="shared" si="57"/>
        <v>inclined</v>
      </c>
      <c r="S906" s="19">
        <v>0</v>
      </c>
      <c r="T906" s="19">
        <v>0</v>
      </c>
      <c r="U906" s="19">
        <v>0</v>
      </c>
      <c r="V906" s="20">
        <v>0.86920040251000474</v>
      </c>
      <c r="W906" s="20">
        <v>-0.49445996832549122</v>
      </c>
      <c r="Z906" s="15">
        <v>101</v>
      </c>
      <c r="AD906" s="1">
        <v>2.1324503311258201</v>
      </c>
      <c r="AE906" s="22" t="s">
        <v>85</v>
      </c>
      <c r="AF906" s="22"/>
    </row>
    <row r="907" spans="1:32" x14ac:dyDescent="0.2">
      <c r="A907" s="1">
        <v>1089</v>
      </c>
      <c r="D907" s="1" t="s">
        <v>9</v>
      </c>
      <c r="E907" s="1" t="s">
        <v>25</v>
      </c>
      <c r="F907" s="15">
        <v>0.5</v>
      </c>
      <c r="G907" s="15">
        <v>0</v>
      </c>
      <c r="H907" s="15">
        <v>0.8</v>
      </c>
      <c r="I907" s="15">
        <f t="shared" si="58"/>
        <v>0.5</v>
      </c>
      <c r="O907" s="18">
        <v>21</v>
      </c>
      <c r="Q907" s="1" t="s">
        <v>33</v>
      </c>
      <c r="R907" s="20" t="str">
        <f t="shared" si="57"/>
        <v>inclined</v>
      </c>
      <c r="S907" s="19">
        <v>0</v>
      </c>
      <c r="T907" s="19">
        <v>0</v>
      </c>
      <c r="U907" s="19">
        <v>0</v>
      </c>
      <c r="V907" s="20">
        <v>0.76904594500632928</v>
      </c>
      <c r="W907" s="20">
        <v>-0.63919350315011958</v>
      </c>
      <c r="Z907" s="15">
        <v>101</v>
      </c>
      <c r="AD907" s="1">
        <v>2.14569536423841</v>
      </c>
      <c r="AE907" s="22" t="s">
        <v>85</v>
      </c>
      <c r="AF907" s="22"/>
    </row>
    <row r="908" spans="1:32" x14ac:dyDescent="0.2">
      <c r="A908" s="1">
        <v>1090</v>
      </c>
      <c r="D908" s="1" t="s">
        <v>9</v>
      </c>
      <c r="E908" s="1" t="s">
        <v>25</v>
      </c>
      <c r="F908" s="15">
        <v>0.5</v>
      </c>
      <c r="G908" s="15">
        <v>0</v>
      </c>
      <c r="H908" s="15">
        <v>0.8</v>
      </c>
      <c r="I908" s="15">
        <f t="shared" si="58"/>
        <v>0.5</v>
      </c>
      <c r="O908" s="18">
        <v>21</v>
      </c>
      <c r="Q908" s="1" t="s">
        <v>33</v>
      </c>
      <c r="R908" s="20" t="str">
        <f t="shared" si="57"/>
        <v>inclined</v>
      </c>
      <c r="S908" s="19">
        <v>0</v>
      </c>
      <c r="T908" s="19">
        <v>0</v>
      </c>
      <c r="U908" s="19">
        <v>0</v>
      </c>
      <c r="V908" s="20">
        <v>0.64799021995241124</v>
      </c>
      <c r="W908" s="20">
        <v>-0.76164865577641883</v>
      </c>
      <c r="Z908" s="15">
        <v>101</v>
      </c>
      <c r="AD908" s="1">
        <v>2.1589403973509902</v>
      </c>
      <c r="AE908" s="22" t="s">
        <v>85</v>
      </c>
      <c r="AF908" s="22"/>
    </row>
    <row r="909" spans="1:32" x14ac:dyDescent="0.2">
      <c r="A909" s="1">
        <v>1091</v>
      </c>
      <c r="D909" s="1" t="s">
        <v>9</v>
      </c>
      <c r="E909" s="1" t="s">
        <v>25</v>
      </c>
      <c r="F909" s="15">
        <v>0.5</v>
      </c>
      <c r="G909" s="15">
        <v>0</v>
      </c>
      <c r="H909" s="15">
        <v>0.8</v>
      </c>
      <c r="I909" s="15">
        <f t="shared" si="58"/>
        <v>0.5</v>
      </c>
      <c r="O909" s="18">
        <v>21</v>
      </c>
      <c r="Q909" s="1" t="s">
        <v>33</v>
      </c>
      <c r="R909" s="20" t="str">
        <f t="shared" si="57"/>
        <v>inclined</v>
      </c>
      <c r="S909" s="19">
        <v>0</v>
      </c>
      <c r="T909" s="19">
        <v>0</v>
      </c>
      <c r="U909" s="19">
        <v>0</v>
      </c>
      <c r="V909" s="20">
        <v>0.5011055671944612</v>
      </c>
      <c r="W909" s="20">
        <v>-0.8653861626619167</v>
      </c>
      <c r="Z909" s="15">
        <v>101</v>
      </c>
      <c r="AD909" s="1">
        <v>2.1986754966887401</v>
      </c>
      <c r="AE909" s="22" t="s">
        <v>85</v>
      </c>
      <c r="AF909" s="22"/>
    </row>
    <row r="910" spans="1:32" x14ac:dyDescent="0.2">
      <c r="A910" s="1">
        <v>1092</v>
      </c>
      <c r="D910" s="1" t="s">
        <v>9</v>
      </c>
      <c r="E910" s="1" t="s">
        <v>25</v>
      </c>
      <c r="F910" s="15">
        <v>0.5</v>
      </c>
      <c r="G910" s="15">
        <v>0</v>
      </c>
      <c r="H910" s="15">
        <v>0.8</v>
      </c>
      <c r="I910" s="15">
        <f t="shared" si="58"/>
        <v>0.5</v>
      </c>
      <c r="O910" s="18">
        <v>21</v>
      </c>
      <c r="Q910" s="1" t="s">
        <v>33</v>
      </c>
      <c r="R910" s="20" t="str">
        <f t="shared" si="57"/>
        <v>inclined</v>
      </c>
      <c r="S910" s="19">
        <v>0</v>
      </c>
      <c r="T910" s="19">
        <v>0</v>
      </c>
      <c r="U910" s="19">
        <v>0</v>
      </c>
      <c r="V910" s="20">
        <v>0.34521829631667916</v>
      </c>
      <c r="W910" s="20">
        <v>-0.9385224173605069</v>
      </c>
      <c r="Z910" s="15">
        <v>101</v>
      </c>
      <c r="AD910" s="1">
        <v>2.2384105960264802</v>
      </c>
      <c r="AE910" s="22" t="s">
        <v>85</v>
      </c>
      <c r="AF910" s="22"/>
    </row>
    <row r="911" spans="1:32" x14ac:dyDescent="0.2">
      <c r="A911" s="1">
        <v>1093</v>
      </c>
      <c r="D911" s="1" t="s">
        <v>9</v>
      </c>
      <c r="E911" s="1" t="s">
        <v>25</v>
      </c>
      <c r="F911" s="15">
        <v>0.5</v>
      </c>
      <c r="G911" s="15">
        <v>0</v>
      </c>
      <c r="H911" s="15">
        <v>0.8</v>
      </c>
      <c r="I911" s="15">
        <f t="shared" si="58"/>
        <v>0.5</v>
      </c>
      <c r="O911" s="18">
        <v>21</v>
      </c>
      <c r="Q911" s="1" t="s">
        <v>33</v>
      </c>
      <c r="R911" s="20" t="str">
        <f t="shared" si="57"/>
        <v>inclined</v>
      </c>
      <c r="S911" s="19">
        <v>0</v>
      </c>
      <c r="T911" s="19">
        <v>0</v>
      </c>
      <c r="U911" s="19">
        <v>0</v>
      </c>
      <c r="V911" s="20">
        <v>0.17532481661118651</v>
      </c>
      <c r="W911" s="20">
        <v>-0.98451064426965629</v>
      </c>
      <c r="Z911" s="15">
        <v>101</v>
      </c>
      <c r="AD911" s="1">
        <v>2.43708609271523</v>
      </c>
      <c r="AE911" s="22" t="s">
        <v>85</v>
      </c>
      <c r="AF911" s="22"/>
    </row>
    <row r="912" spans="1:32" x14ac:dyDescent="0.2">
      <c r="A912" s="1">
        <v>1094</v>
      </c>
      <c r="D912" s="1" t="s">
        <v>9</v>
      </c>
      <c r="E912" s="1" t="s">
        <v>25</v>
      </c>
      <c r="F912" s="15">
        <v>0.5</v>
      </c>
      <c r="G912" s="15">
        <v>0</v>
      </c>
      <c r="H912" s="15">
        <v>0.8</v>
      </c>
      <c r="I912" s="15">
        <f t="shared" si="58"/>
        <v>0.5</v>
      </c>
      <c r="O912" s="18">
        <v>21</v>
      </c>
      <c r="Q912" s="1" t="s">
        <v>33</v>
      </c>
      <c r="R912" s="20" t="str">
        <f t="shared" si="57"/>
        <v>inclined</v>
      </c>
      <c r="S912" s="19">
        <v>0</v>
      </c>
      <c r="T912" s="19">
        <v>0</v>
      </c>
      <c r="U912" s="19">
        <v>0</v>
      </c>
      <c r="V912" s="20">
        <v>0</v>
      </c>
      <c r="W912" s="20">
        <v>-1</v>
      </c>
      <c r="Z912" s="15">
        <v>101</v>
      </c>
      <c r="AD912" s="1">
        <v>2.6887417218543002</v>
      </c>
      <c r="AE912" s="22" t="s">
        <v>85</v>
      </c>
      <c r="AF912" s="22"/>
    </row>
    <row r="913" spans="1:32" x14ac:dyDescent="0.2">
      <c r="A913" s="1">
        <v>1095</v>
      </c>
      <c r="D913" s="1" t="s">
        <v>9</v>
      </c>
      <c r="E913" s="1" t="s">
        <v>25</v>
      </c>
      <c r="F913" s="15">
        <v>0.5</v>
      </c>
      <c r="G913" s="15">
        <v>0</v>
      </c>
      <c r="H913" s="15">
        <v>0.8</v>
      </c>
      <c r="I913" s="15">
        <f t="shared" si="58"/>
        <v>0.5</v>
      </c>
      <c r="O913" s="18">
        <v>21</v>
      </c>
      <c r="Q913" s="1" t="s">
        <v>33</v>
      </c>
      <c r="R913" s="20" t="str">
        <f t="shared" si="57"/>
        <v>inclined</v>
      </c>
      <c r="S913" s="19">
        <v>0</v>
      </c>
      <c r="T913" s="19">
        <v>0</v>
      </c>
      <c r="U913" s="19">
        <v>0</v>
      </c>
      <c r="V913" s="20">
        <v>-0.17155167154597767</v>
      </c>
      <c r="W913" s="20">
        <v>-0.98517512351347003</v>
      </c>
      <c r="Z913" s="15">
        <v>101</v>
      </c>
      <c r="AD913" s="1">
        <v>2.5695364238410501</v>
      </c>
      <c r="AE913" s="22" t="s">
        <v>85</v>
      </c>
      <c r="AF913" s="22"/>
    </row>
    <row r="914" spans="1:32" x14ac:dyDescent="0.2">
      <c r="A914" s="1">
        <v>1096</v>
      </c>
      <c r="D914" s="1" t="s">
        <v>9</v>
      </c>
      <c r="E914" s="1" t="s">
        <v>25</v>
      </c>
      <c r="F914" s="15">
        <v>0.5</v>
      </c>
      <c r="G914" s="15">
        <v>0</v>
      </c>
      <c r="H914" s="15">
        <v>0.8</v>
      </c>
      <c r="I914" s="15">
        <f t="shared" si="58"/>
        <v>0.5</v>
      </c>
      <c r="O914" s="18">
        <v>21</v>
      </c>
      <c r="Q914" s="1" t="s">
        <v>33</v>
      </c>
      <c r="R914" s="20" t="str">
        <f t="shared" si="57"/>
        <v>inclined</v>
      </c>
      <c r="S914" s="19">
        <v>0</v>
      </c>
      <c r="T914" s="19">
        <v>0</v>
      </c>
      <c r="U914" s="19">
        <v>0</v>
      </c>
      <c r="V914" s="20">
        <v>-0.34162009453916981</v>
      </c>
      <c r="W914" s="20">
        <v>-0.93983813021554341</v>
      </c>
      <c r="Z914" s="15">
        <v>101</v>
      </c>
      <c r="AD914" s="1">
        <v>2.66225165562913</v>
      </c>
      <c r="AE914" s="22" t="s">
        <v>85</v>
      </c>
      <c r="AF914" s="22"/>
    </row>
    <row r="915" spans="1:32" x14ac:dyDescent="0.2">
      <c r="A915" s="1">
        <v>1097</v>
      </c>
      <c r="D915" s="1" t="s">
        <v>9</v>
      </c>
      <c r="E915" s="1" t="s">
        <v>25</v>
      </c>
      <c r="F915" s="15">
        <v>0.5</v>
      </c>
      <c r="G915" s="15">
        <v>0</v>
      </c>
      <c r="H915" s="15">
        <v>0.8</v>
      </c>
      <c r="I915" s="15">
        <f t="shared" si="58"/>
        <v>0.5</v>
      </c>
      <c r="O915" s="18">
        <v>21</v>
      </c>
      <c r="Q915" s="1" t="s">
        <v>33</v>
      </c>
      <c r="R915" s="20" t="str">
        <f t="shared" si="57"/>
        <v>inclined</v>
      </c>
      <c r="S915" s="19">
        <v>0</v>
      </c>
      <c r="T915" s="19">
        <v>0</v>
      </c>
      <c r="U915" s="19">
        <v>0</v>
      </c>
      <c r="V915" s="20">
        <v>-0.49778642105343313</v>
      </c>
      <c r="W915" s="20">
        <v>-0.86729964776587698</v>
      </c>
      <c r="Z915" s="15">
        <v>101</v>
      </c>
      <c r="AD915" s="1">
        <v>2.7947019867549598</v>
      </c>
      <c r="AE915" s="22" t="s">
        <v>85</v>
      </c>
      <c r="AF915" s="22"/>
    </row>
    <row r="916" spans="1:32" x14ac:dyDescent="0.2">
      <c r="A916" s="1">
        <v>1098</v>
      </c>
      <c r="D916" s="1" t="s">
        <v>9</v>
      </c>
      <c r="E916" s="1" t="s">
        <v>25</v>
      </c>
      <c r="F916" s="15">
        <v>0.5</v>
      </c>
      <c r="G916" s="15">
        <v>0</v>
      </c>
      <c r="H916" s="15">
        <v>0.8</v>
      </c>
      <c r="I916" s="15">
        <f t="shared" si="58"/>
        <v>0.5</v>
      </c>
      <c r="O916" s="18">
        <v>21</v>
      </c>
      <c r="Q916" s="1" t="s">
        <v>33</v>
      </c>
      <c r="R916" s="20" t="str">
        <f t="shared" si="57"/>
        <v>inclined</v>
      </c>
      <c r="S916" s="19">
        <v>0</v>
      </c>
      <c r="T916" s="19">
        <v>0</v>
      </c>
      <c r="U916" s="19">
        <v>0</v>
      </c>
      <c r="V916" s="20">
        <v>-0.64213518179150253</v>
      </c>
      <c r="W916" s="20">
        <v>-0.76659142201409614</v>
      </c>
      <c r="Z916" s="15">
        <v>101</v>
      </c>
      <c r="AD916" s="1">
        <v>3.1920529801324502</v>
      </c>
      <c r="AE916" s="22" t="s">
        <v>85</v>
      </c>
      <c r="AF916" s="22"/>
    </row>
    <row r="917" spans="1:32" x14ac:dyDescent="0.2">
      <c r="A917" s="1">
        <v>1099</v>
      </c>
      <c r="D917" s="1" t="s">
        <v>9</v>
      </c>
      <c r="E917" s="1" t="s">
        <v>25</v>
      </c>
      <c r="F917" s="15">
        <v>0.5</v>
      </c>
      <c r="G917" s="15">
        <v>0</v>
      </c>
      <c r="H917" s="15">
        <v>0.8</v>
      </c>
      <c r="I917" s="15">
        <f t="shared" si="58"/>
        <v>0.5</v>
      </c>
      <c r="O917" s="18">
        <v>21</v>
      </c>
      <c r="Q917" s="1" t="s">
        <v>33</v>
      </c>
      <c r="R917" s="20" t="str">
        <f t="shared" si="57"/>
        <v>inclined</v>
      </c>
      <c r="S917" s="19">
        <v>0</v>
      </c>
      <c r="T917" s="19">
        <v>0</v>
      </c>
      <c r="U917" s="19">
        <v>0</v>
      </c>
      <c r="V917" s="20">
        <v>-0.76659142201409536</v>
      </c>
      <c r="W917" s="20">
        <v>-0.64213518179150342</v>
      </c>
      <c r="Z917" s="15">
        <v>101</v>
      </c>
      <c r="AD917" s="1">
        <v>3.841059602649</v>
      </c>
      <c r="AE917" s="22" t="s">
        <v>85</v>
      </c>
      <c r="AF917" s="22"/>
    </row>
    <row r="918" spans="1:32" x14ac:dyDescent="0.2">
      <c r="A918" s="1">
        <v>1100</v>
      </c>
      <c r="D918" s="1" t="s">
        <v>9</v>
      </c>
      <c r="E918" s="1" t="s">
        <v>25</v>
      </c>
      <c r="F918" s="15">
        <v>0.5</v>
      </c>
      <c r="G918" s="15">
        <v>0</v>
      </c>
      <c r="H918" s="15">
        <v>0.8</v>
      </c>
      <c r="I918" s="15">
        <f t="shared" si="58"/>
        <v>0.5</v>
      </c>
      <c r="O918" s="18">
        <v>21</v>
      </c>
      <c r="Q918" s="1" t="s">
        <v>33</v>
      </c>
      <c r="R918" s="20" t="str">
        <f t="shared" si="57"/>
        <v>inclined</v>
      </c>
      <c r="S918" s="19">
        <v>0</v>
      </c>
      <c r="T918" s="19">
        <v>0</v>
      </c>
      <c r="U918" s="19">
        <v>0</v>
      </c>
      <c r="V918" s="20">
        <v>-0.8653861626619157</v>
      </c>
      <c r="W918" s="20">
        <v>-0.50110556719446286</v>
      </c>
      <c r="Z918" s="15">
        <v>101</v>
      </c>
      <c r="AD918" s="1">
        <v>5.1788079470198598</v>
      </c>
      <c r="AE918" s="22" t="s">
        <v>85</v>
      </c>
      <c r="AF918" s="22"/>
    </row>
    <row r="919" spans="1:32" s="5" customFormat="1" ht="16" thickBot="1" x14ac:dyDescent="0.25">
      <c r="A919" s="1">
        <v>1101</v>
      </c>
      <c r="B919" s="24"/>
      <c r="D919" s="5" t="s">
        <v>9</v>
      </c>
      <c r="E919" s="5" t="s">
        <v>25</v>
      </c>
      <c r="F919" s="25">
        <v>0.5</v>
      </c>
      <c r="G919" s="25">
        <v>0</v>
      </c>
      <c r="H919" s="25">
        <v>0.8</v>
      </c>
      <c r="I919" s="25">
        <f t="shared" si="58"/>
        <v>0.5</v>
      </c>
      <c r="J919" s="26"/>
      <c r="K919" s="26"/>
      <c r="L919" s="26"/>
      <c r="M919" s="27"/>
      <c r="N919" s="28"/>
      <c r="O919" s="28">
        <v>21</v>
      </c>
      <c r="P919" s="29"/>
      <c r="Q919" s="1" t="s">
        <v>33</v>
      </c>
      <c r="R919" s="20" t="str">
        <f t="shared" si="57"/>
        <v>inclined</v>
      </c>
      <c r="S919" s="30">
        <v>0</v>
      </c>
      <c r="T919" s="30">
        <v>0</v>
      </c>
      <c r="U919" s="30">
        <v>0</v>
      </c>
      <c r="V919" s="31">
        <v>-0.93983813021554286</v>
      </c>
      <c r="W919" s="31">
        <v>-0.34162009453917136</v>
      </c>
      <c r="Y919" s="28"/>
      <c r="Z919" s="25">
        <v>101</v>
      </c>
      <c r="AA919" s="26"/>
      <c r="AB919" s="26"/>
      <c r="AC919" s="26"/>
      <c r="AD919" s="5">
        <v>6.7019867549668799</v>
      </c>
      <c r="AE919" s="33" t="s">
        <v>85</v>
      </c>
      <c r="AF919" s="22"/>
    </row>
    <row r="920" spans="1:32" s="3" customFormat="1" x14ac:dyDescent="0.2">
      <c r="A920" s="1">
        <v>1102</v>
      </c>
      <c r="B920" s="47"/>
      <c r="D920" s="3" t="s">
        <v>4</v>
      </c>
      <c r="E920" s="3" t="s">
        <v>25</v>
      </c>
      <c r="F920" s="34">
        <v>0.5</v>
      </c>
      <c r="G920" s="34">
        <v>0</v>
      </c>
      <c r="H920" s="34">
        <v>0.8</v>
      </c>
      <c r="I920" s="34">
        <f t="shared" si="58"/>
        <v>0.5</v>
      </c>
      <c r="J920" s="48"/>
      <c r="K920" s="48"/>
      <c r="L920" s="48"/>
      <c r="M920" s="49"/>
      <c r="N920" s="50"/>
      <c r="O920" s="50">
        <v>21</v>
      </c>
      <c r="P920" s="51"/>
      <c r="Q920" s="1" t="s">
        <v>33</v>
      </c>
      <c r="R920" s="20" t="str">
        <f t="shared" si="57"/>
        <v>inclined</v>
      </c>
      <c r="S920" s="35">
        <v>0</v>
      </c>
      <c r="T920" s="35">
        <v>0</v>
      </c>
      <c r="U920" s="35">
        <v>0</v>
      </c>
      <c r="V920" s="36">
        <v>-1</v>
      </c>
      <c r="W920" s="36">
        <v>0</v>
      </c>
      <c r="Y920" s="50"/>
      <c r="Z920" s="34">
        <v>101</v>
      </c>
      <c r="AA920" s="48"/>
      <c r="AB920" s="48"/>
      <c r="AC920" s="48"/>
      <c r="AD920" s="3">
        <v>13.102998889947401</v>
      </c>
      <c r="AE920" s="37" t="s">
        <v>86</v>
      </c>
      <c r="AF920" s="22"/>
    </row>
    <row r="921" spans="1:32" x14ac:dyDescent="0.2">
      <c r="A921" s="1">
        <v>1103</v>
      </c>
      <c r="D921" s="1" t="s">
        <v>4</v>
      </c>
      <c r="E921" s="1" t="s">
        <v>25</v>
      </c>
      <c r="F921" s="15">
        <v>0.5</v>
      </c>
      <c r="G921" s="15">
        <v>0</v>
      </c>
      <c r="H921" s="15">
        <v>0.8</v>
      </c>
      <c r="I921" s="15">
        <f t="shared" ref="I921:I968" si="59">F921</f>
        <v>0.5</v>
      </c>
      <c r="O921" s="18">
        <v>21</v>
      </c>
      <c r="Q921" s="1" t="s">
        <v>1</v>
      </c>
      <c r="R921" s="20" t="str">
        <f t="shared" si="57"/>
        <v>inclined</v>
      </c>
      <c r="S921" s="19">
        <v>0</v>
      </c>
      <c r="T921" s="19">
        <v>-0.149214659685863</v>
      </c>
      <c r="U921" s="19">
        <v>0</v>
      </c>
      <c r="V921" s="20">
        <v>-1</v>
      </c>
      <c r="W921" s="20">
        <v>0</v>
      </c>
      <c r="Z921" s="15">
        <v>101</v>
      </c>
      <c r="AD921" s="1">
        <v>4.2466458058369501</v>
      </c>
      <c r="AE921" s="22" t="s">
        <v>86</v>
      </c>
      <c r="AF921" s="22"/>
    </row>
    <row r="922" spans="1:32" x14ac:dyDescent="0.2">
      <c r="A922" s="1">
        <v>1104</v>
      </c>
      <c r="D922" s="1" t="s">
        <v>4</v>
      </c>
      <c r="E922" s="1" t="s">
        <v>25</v>
      </c>
      <c r="F922" s="15">
        <v>0.5</v>
      </c>
      <c r="G922" s="15">
        <v>0</v>
      </c>
      <c r="H922" s="15">
        <v>0.8</v>
      </c>
      <c r="I922" s="15">
        <f t="shared" si="59"/>
        <v>0.5</v>
      </c>
      <c r="O922" s="18">
        <v>21</v>
      </c>
      <c r="Q922" s="1" t="s">
        <v>33</v>
      </c>
      <c r="R922" s="20" t="str">
        <f t="shared" si="57"/>
        <v>inclined</v>
      </c>
      <c r="S922" s="19">
        <v>0</v>
      </c>
      <c r="T922" s="19">
        <v>0</v>
      </c>
      <c r="U922" s="19">
        <v>0</v>
      </c>
      <c r="V922" s="20">
        <v>-0.96592599999999995</v>
      </c>
      <c r="W922" s="20">
        <v>-0.25881900000000002</v>
      </c>
      <c r="Z922" s="15">
        <v>101</v>
      </c>
      <c r="AD922" s="1">
        <v>6.7691090735868604</v>
      </c>
      <c r="AE922" s="22" t="s">
        <v>87</v>
      </c>
      <c r="AF922" s="22"/>
    </row>
    <row r="923" spans="1:32" x14ac:dyDescent="0.2">
      <c r="A923" s="1">
        <v>1105</v>
      </c>
      <c r="D923" s="1" t="s">
        <v>4</v>
      </c>
      <c r="E923" s="1" t="s">
        <v>25</v>
      </c>
      <c r="F923" s="15">
        <v>0.5</v>
      </c>
      <c r="G923" s="15">
        <v>0</v>
      </c>
      <c r="H923" s="15">
        <v>0.8</v>
      </c>
      <c r="I923" s="15">
        <f t="shared" si="59"/>
        <v>0.5</v>
      </c>
      <c r="O923" s="18">
        <v>21</v>
      </c>
      <c r="Q923" s="1" t="s">
        <v>2</v>
      </c>
      <c r="R923" s="20" t="str">
        <f t="shared" si="57"/>
        <v>inclined</v>
      </c>
      <c r="S923" s="19">
        <v>2.4391323622227089E-2</v>
      </c>
      <c r="T923" s="19">
        <v>-9.1029659022006451E-2</v>
      </c>
      <c r="U923" s="19">
        <v>0</v>
      </c>
      <c r="V923" s="20">
        <v>-0.96592599999999995</v>
      </c>
      <c r="W923" s="20">
        <v>-0.25881900000000002</v>
      </c>
      <c r="Z923" s="15">
        <v>101</v>
      </c>
      <c r="AD923" s="1">
        <v>11.491412388885401</v>
      </c>
      <c r="AE923" s="22" t="s">
        <v>87</v>
      </c>
      <c r="AF923" s="22"/>
    </row>
    <row r="924" spans="1:32" x14ac:dyDescent="0.2">
      <c r="A924" s="1">
        <v>1106</v>
      </c>
      <c r="D924" s="1" t="s">
        <v>4</v>
      </c>
      <c r="E924" s="1" t="s">
        <v>25</v>
      </c>
      <c r="F924" s="15">
        <v>0.5</v>
      </c>
      <c r="G924" s="15">
        <v>0</v>
      </c>
      <c r="H924" s="15">
        <v>0.8</v>
      </c>
      <c r="I924" s="15">
        <f t="shared" si="59"/>
        <v>0.5</v>
      </c>
      <c r="O924" s="18">
        <v>21</v>
      </c>
      <c r="Q924" s="1" t="s">
        <v>2</v>
      </c>
      <c r="R924" s="20" t="str">
        <f t="shared" si="57"/>
        <v>inclined</v>
      </c>
      <c r="S924" s="19">
        <v>4.26848163388973E-2</v>
      </c>
      <c r="T924" s="19">
        <v>-0.1593019032885109</v>
      </c>
      <c r="U924" s="19">
        <v>0</v>
      </c>
      <c r="V924" s="20">
        <v>-0.96592599999999995</v>
      </c>
      <c r="W924" s="20">
        <v>-0.25881900000000002</v>
      </c>
      <c r="Z924" s="15">
        <v>101</v>
      </c>
      <c r="AD924" s="1">
        <v>4.5506690907183804</v>
      </c>
      <c r="AE924" s="22" t="s">
        <v>87</v>
      </c>
      <c r="AF924" s="22"/>
    </row>
    <row r="925" spans="1:32" x14ac:dyDescent="0.2">
      <c r="A925" s="1">
        <v>1107</v>
      </c>
      <c r="D925" s="1" t="s">
        <v>4</v>
      </c>
      <c r="E925" s="1" t="s">
        <v>25</v>
      </c>
      <c r="F925" s="15">
        <v>0.5</v>
      </c>
      <c r="G925" s="15">
        <v>0</v>
      </c>
      <c r="H925" s="15">
        <v>0.8</v>
      </c>
      <c r="I925" s="15">
        <f t="shared" si="59"/>
        <v>0.5</v>
      </c>
      <c r="O925" s="18">
        <v>21</v>
      </c>
      <c r="Q925" s="1" t="s">
        <v>2</v>
      </c>
      <c r="R925" s="20" t="str">
        <f t="shared" si="57"/>
        <v>inclined</v>
      </c>
      <c r="S925" s="19">
        <v>6.1655845822851774E-2</v>
      </c>
      <c r="T925" s="19">
        <v>-0.23010274919451618</v>
      </c>
      <c r="U925" s="19">
        <v>0</v>
      </c>
      <c r="V925" s="20">
        <v>-0.96592599999999995</v>
      </c>
      <c r="W925" s="20">
        <v>-0.25881900000000002</v>
      </c>
      <c r="Z925" s="15">
        <v>101</v>
      </c>
      <c r="AD925" s="1">
        <v>3.6867510423130998</v>
      </c>
      <c r="AE925" s="22" t="s">
        <v>87</v>
      </c>
      <c r="AF925" s="22"/>
    </row>
    <row r="926" spans="1:32" x14ac:dyDescent="0.2">
      <c r="A926" s="1">
        <v>1108</v>
      </c>
      <c r="D926" s="1" t="s">
        <v>4</v>
      </c>
      <c r="E926" s="1" t="s">
        <v>25</v>
      </c>
      <c r="F926" s="15">
        <v>0.5</v>
      </c>
      <c r="G926" s="15">
        <v>0</v>
      </c>
      <c r="H926" s="15">
        <v>0.8</v>
      </c>
      <c r="I926" s="15">
        <f t="shared" si="59"/>
        <v>0.5</v>
      </c>
      <c r="O926" s="18">
        <v>21</v>
      </c>
      <c r="Q926" s="1" t="s">
        <v>2</v>
      </c>
      <c r="R926" s="20" t="str">
        <f t="shared" si="57"/>
        <v>inclined</v>
      </c>
      <c r="S926" s="19">
        <v>8.6047169445078842E-2</v>
      </c>
      <c r="T926" s="19">
        <v>-0.32113240821652256</v>
      </c>
      <c r="U926" s="19">
        <v>0</v>
      </c>
      <c r="V926" s="20">
        <v>-0.96592599999999995</v>
      </c>
      <c r="W926" s="20">
        <v>-0.25881900000000002</v>
      </c>
      <c r="Z926" s="15">
        <v>101</v>
      </c>
      <c r="AD926" s="1">
        <v>3.2671511856584701</v>
      </c>
      <c r="AE926" s="22" t="s">
        <v>87</v>
      </c>
      <c r="AF926" s="22"/>
    </row>
    <row r="927" spans="1:32" x14ac:dyDescent="0.2">
      <c r="A927" s="1">
        <v>1109</v>
      </c>
      <c r="D927" s="1" t="s">
        <v>4</v>
      </c>
      <c r="E927" s="1" t="s">
        <v>25</v>
      </c>
      <c r="F927" s="15">
        <v>0.5</v>
      </c>
      <c r="G927" s="15">
        <v>0</v>
      </c>
      <c r="H927" s="15">
        <v>0.8</v>
      </c>
      <c r="I927" s="15">
        <f t="shared" si="59"/>
        <v>0.5</v>
      </c>
      <c r="O927" s="18">
        <v>21</v>
      </c>
      <c r="Q927" s="1" t="s">
        <v>2</v>
      </c>
      <c r="R927" s="20" t="str">
        <f t="shared" si="57"/>
        <v>inclined</v>
      </c>
      <c r="S927" s="19">
        <v>0</v>
      </c>
      <c r="T927" s="19">
        <v>0</v>
      </c>
      <c r="U927" s="19">
        <v>0</v>
      </c>
      <c r="V927" s="20">
        <v>-0.86602500000000004</v>
      </c>
      <c r="W927" s="20">
        <v>-0.5</v>
      </c>
      <c r="Z927" s="15">
        <v>101</v>
      </c>
      <c r="AD927" s="1">
        <v>5.0161875376937104</v>
      </c>
      <c r="AE927" s="22" t="s">
        <v>88</v>
      </c>
      <c r="AF927" s="22"/>
    </row>
    <row r="928" spans="1:32" x14ac:dyDescent="0.2">
      <c r="A928" s="1">
        <v>1110</v>
      </c>
      <c r="D928" s="1" t="s">
        <v>4</v>
      </c>
      <c r="E928" s="1" t="s">
        <v>25</v>
      </c>
      <c r="F928" s="15">
        <v>0.5</v>
      </c>
      <c r="G928" s="15">
        <v>0</v>
      </c>
      <c r="H928" s="15">
        <v>0.8</v>
      </c>
      <c r="I928" s="15">
        <f t="shared" si="59"/>
        <v>0.5</v>
      </c>
      <c r="O928" s="18">
        <v>21</v>
      </c>
      <c r="Q928" s="1" t="s">
        <v>2</v>
      </c>
      <c r="R928" s="20" t="str">
        <f t="shared" si="57"/>
        <v>inclined</v>
      </c>
      <c r="S928" s="19">
        <v>7.7225130890052007E-2</v>
      </c>
      <c r="T928" s="19">
        <v>-0.13375785032272677</v>
      </c>
      <c r="U928" s="19">
        <v>0</v>
      </c>
      <c r="V928" s="20">
        <v>-0.86602500000000004</v>
      </c>
      <c r="W928" s="20">
        <v>-0.5</v>
      </c>
      <c r="Z928" s="15">
        <v>101</v>
      </c>
      <c r="AD928" s="1">
        <v>10.510479944759499</v>
      </c>
      <c r="AE928" s="22" t="s">
        <v>88</v>
      </c>
      <c r="AF928" s="22"/>
    </row>
    <row r="929" spans="1:32" x14ac:dyDescent="0.2">
      <c r="A929" s="1">
        <v>1111</v>
      </c>
      <c r="D929" s="1" t="s">
        <v>4</v>
      </c>
      <c r="E929" s="1" t="s">
        <v>25</v>
      </c>
      <c r="F929" s="15">
        <v>0.5</v>
      </c>
      <c r="G929" s="15">
        <v>0</v>
      </c>
      <c r="H929" s="15">
        <v>0.8</v>
      </c>
      <c r="I929" s="15">
        <f t="shared" si="59"/>
        <v>0.5</v>
      </c>
      <c r="O929" s="18">
        <v>21</v>
      </c>
      <c r="Q929" s="1" t="s">
        <v>2</v>
      </c>
      <c r="R929" s="20" t="str">
        <f t="shared" si="57"/>
        <v>inclined</v>
      </c>
      <c r="S929" s="19">
        <v>0.11910994764397903</v>
      </c>
      <c r="T929" s="19">
        <v>-0.20630448100624046</v>
      </c>
      <c r="U929" s="19">
        <v>0</v>
      </c>
      <c r="V929" s="20">
        <v>-0.86602500000000004</v>
      </c>
      <c r="W929" s="20">
        <v>-0.5</v>
      </c>
      <c r="Z929" s="15">
        <v>101</v>
      </c>
      <c r="AD929" s="1">
        <v>5.5799063010777097</v>
      </c>
      <c r="AE929" s="22" t="s">
        <v>88</v>
      </c>
      <c r="AF929" s="22"/>
    </row>
    <row r="930" spans="1:32" x14ac:dyDescent="0.2">
      <c r="A930" s="1">
        <v>1112</v>
      </c>
      <c r="D930" s="1" t="s">
        <v>4</v>
      </c>
      <c r="E930" s="1" t="s">
        <v>25</v>
      </c>
      <c r="F930" s="15">
        <v>0.5</v>
      </c>
      <c r="G930" s="15">
        <v>0</v>
      </c>
      <c r="H930" s="15">
        <v>0.8</v>
      </c>
      <c r="I930" s="15">
        <f t="shared" si="59"/>
        <v>0.5</v>
      </c>
      <c r="O930" s="18">
        <v>21</v>
      </c>
      <c r="Q930" s="1" t="s">
        <v>2</v>
      </c>
      <c r="R930" s="20" t="str">
        <f t="shared" si="57"/>
        <v>inclined</v>
      </c>
      <c r="S930" s="19">
        <v>0.17277486910994752</v>
      </c>
      <c r="T930" s="19">
        <v>-0.29925485156949155</v>
      </c>
      <c r="U930" s="19">
        <v>0</v>
      </c>
      <c r="V930" s="20">
        <v>-0.86602500000000004</v>
      </c>
      <c r="W930" s="20">
        <v>-0.5</v>
      </c>
      <c r="Z930" s="15">
        <v>101</v>
      </c>
      <c r="AD930" s="1">
        <v>4.15545105717207</v>
      </c>
      <c r="AE930" s="22" t="s">
        <v>88</v>
      </c>
      <c r="AF930" s="22"/>
    </row>
    <row r="931" spans="1:32" x14ac:dyDescent="0.2">
      <c r="A931" s="1">
        <v>1113</v>
      </c>
      <c r="D931" s="1" t="s">
        <v>4</v>
      </c>
      <c r="E931" s="1" t="s">
        <v>25</v>
      </c>
      <c r="F931" s="15">
        <v>0.5</v>
      </c>
      <c r="G931" s="15">
        <v>0</v>
      </c>
      <c r="H931" s="15">
        <v>0.8</v>
      </c>
      <c r="I931" s="15">
        <f t="shared" si="59"/>
        <v>0.5</v>
      </c>
      <c r="O931" s="18">
        <v>21</v>
      </c>
      <c r="Q931" s="1" t="s">
        <v>2</v>
      </c>
      <c r="R931" s="20" t="str">
        <f t="shared" si="57"/>
        <v>inclined</v>
      </c>
      <c r="S931" s="19">
        <v>0.20942408376963356</v>
      </c>
      <c r="T931" s="19">
        <v>-0.36273315341756579</v>
      </c>
      <c r="U931" s="19">
        <v>0</v>
      </c>
      <c r="V931" s="20">
        <v>-0.86602500000000004</v>
      </c>
      <c r="W931" s="20">
        <v>-0.5</v>
      </c>
      <c r="Z931" s="15">
        <v>101</v>
      </c>
      <c r="AD931" s="1">
        <v>3.8524679002525999</v>
      </c>
      <c r="AE931" s="22" t="s">
        <v>88</v>
      </c>
      <c r="AF931" s="22"/>
    </row>
    <row r="932" spans="1:32" x14ac:dyDescent="0.2">
      <c r="A932" s="1">
        <v>1114</v>
      </c>
      <c r="D932" s="1" t="s">
        <v>4</v>
      </c>
      <c r="E932" s="1" t="s">
        <v>25</v>
      </c>
      <c r="F932" s="15">
        <v>0.5</v>
      </c>
      <c r="G932" s="15">
        <v>0</v>
      </c>
      <c r="H932" s="15">
        <v>0.8</v>
      </c>
      <c r="I932" s="15">
        <f t="shared" si="59"/>
        <v>0.5</v>
      </c>
      <c r="O932" s="18">
        <v>21</v>
      </c>
      <c r="Q932" s="1" t="s">
        <v>2</v>
      </c>
      <c r="R932" s="20" t="str">
        <f t="shared" si="57"/>
        <v>inclined</v>
      </c>
      <c r="S932" s="19">
        <v>0.23821989528795806</v>
      </c>
      <c r="T932" s="19">
        <v>-0.41260896201248093</v>
      </c>
      <c r="U932" s="19">
        <v>0</v>
      </c>
      <c r="V932" s="20">
        <v>-0.86602500000000004</v>
      </c>
      <c r="W932" s="20">
        <v>-0.5</v>
      </c>
      <c r="Z932" s="15">
        <v>101</v>
      </c>
      <c r="AD932" s="1">
        <v>3.82976863708274</v>
      </c>
      <c r="AE932" s="22" t="s">
        <v>88</v>
      </c>
      <c r="AF932" s="22"/>
    </row>
    <row r="933" spans="1:32" x14ac:dyDescent="0.2">
      <c r="A933" s="1">
        <v>1115</v>
      </c>
      <c r="D933" s="1" t="s">
        <v>4</v>
      </c>
      <c r="E933" s="1" t="s">
        <v>25</v>
      </c>
      <c r="F933" s="15">
        <v>0.5</v>
      </c>
      <c r="G933" s="15">
        <v>0</v>
      </c>
      <c r="H933" s="15">
        <v>0.8</v>
      </c>
      <c r="I933" s="15">
        <f t="shared" si="59"/>
        <v>0.5</v>
      </c>
      <c r="O933" s="18">
        <v>21</v>
      </c>
      <c r="Q933" s="1" t="s">
        <v>33</v>
      </c>
      <c r="R933" s="20" t="str">
        <f t="shared" si="57"/>
        <v>inclined</v>
      </c>
      <c r="S933" s="19">
        <v>0</v>
      </c>
      <c r="T933" s="19">
        <v>0</v>
      </c>
      <c r="U933" s="19">
        <v>0</v>
      </c>
      <c r="V933" s="20">
        <v>-0.70710700000000004</v>
      </c>
      <c r="W933" s="20">
        <v>-0.70710700000000004</v>
      </c>
      <c r="Z933" s="15">
        <v>101</v>
      </c>
      <c r="AD933" s="1">
        <v>3.0762877046386201</v>
      </c>
      <c r="AE933" s="22" t="s">
        <v>89</v>
      </c>
      <c r="AF933" s="22"/>
    </row>
    <row r="934" spans="1:32" x14ac:dyDescent="0.2">
      <c r="A934" s="1">
        <v>1116</v>
      </c>
      <c r="D934" s="1" t="s">
        <v>4</v>
      </c>
      <c r="E934" s="1" t="s">
        <v>25</v>
      </c>
      <c r="F934" s="15">
        <v>0.5</v>
      </c>
      <c r="G934" s="15">
        <v>0</v>
      </c>
      <c r="H934" s="15">
        <v>0.8</v>
      </c>
      <c r="I934" s="15">
        <f t="shared" si="59"/>
        <v>0.5</v>
      </c>
      <c r="O934" s="18">
        <v>21</v>
      </c>
      <c r="Q934" s="1" t="s">
        <v>2</v>
      </c>
      <c r="R934" s="20" t="str">
        <f t="shared" si="57"/>
        <v>inclined</v>
      </c>
      <c r="S934" s="19">
        <v>0.11106389233296549</v>
      </c>
      <c r="T934" s="19">
        <v>-0.11106389233296547</v>
      </c>
      <c r="U934" s="19">
        <v>0</v>
      </c>
      <c r="V934" s="20">
        <v>-0.70710700000000004</v>
      </c>
      <c r="W934" s="20">
        <v>-0.70710700000000004</v>
      </c>
      <c r="Z934" s="15">
        <v>101</v>
      </c>
      <c r="AD934" s="1">
        <v>8.6407275651391</v>
      </c>
      <c r="AE934" s="22" t="s">
        <v>89</v>
      </c>
      <c r="AF934" s="22"/>
    </row>
    <row r="935" spans="1:32" x14ac:dyDescent="0.2">
      <c r="A935" s="1">
        <v>1117</v>
      </c>
      <c r="D935" s="1" t="s">
        <v>4</v>
      </c>
      <c r="E935" s="1" t="s">
        <v>25</v>
      </c>
      <c r="F935" s="15">
        <v>0.5</v>
      </c>
      <c r="G935" s="15">
        <v>0</v>
      </c>
      <c r="H935" s="15">
        <v>0.8</v>
      </c>
      <c r="I935" s="15">
        <f t="shared" si="59"/>
        <v>0.5</v>
      </c>
      <c r="O935" s="18">
        <v>21</v>
      </c>
      <c r="Q935" s="1" t="s">
        <v>2</v>
      </c>
      <c r="R935" s="20" t="str">
        <f t="shared" si="57"/>
        <v>inclined</v>
      </c>
      <c r="S935" s="19">
        <v>0.1684469033716644</v>
      </c>
      <c r="T935" s="19">
        <v>-0.16844690337166437</v>
      </c>
      <c r="U935" s="19">
        <v>0</v>
      </c>
      <c r="V935" s="20">
        <v>-0.70710700000000004</v>
      </c>
      <c r="W935" s="20">
        <v>-0.70710700000000004</v>
      </c>
      <c r="Z935" s="15">
        <v>101</v>
      </c>
      <c r="AD935" s="1">
        <v>10.2543637301261</v>
      </c>
      <c r="AE935" s="22" t="s">
        <v>89</v>
      </c>
      <c r="AF935" s="22"/>
    </row>
    <row r="936" spans="1:32" x14ac:dyDescent="0.2">
      <c r="A936" s="1">
        <v>1118</v>
      </c>
      <c r="D936" s="1" t="s">
        <v>4</v>
      </c>
      <c r="E936" s="1" t="s">
        <v>25</v>
      </c>
      <c r="F936" s="15">
        <v>0.5</v>
      </c>
      <c r="G936" s="15">
        <v>0</v>
      </c>
      <c r="H936" s="15">
        <v>0.8</v>
      </c>
      <c r="I936" s="15">
        <f t="shared" si="59"/>
        <v>0.5</v>
      </c>
      <c r="O936" s="18">
        <v>21</v>
      </c>
      <c r="Q936" s="1" t="s">
        <v>2</v>
      </c>
      <c r="R936" s="20" t="str">
        <f t="shared" si="57"/>
        <v>inclined</v>
      </c>
      <c r="S936" s="19">
        <v>0.20917033056041828</v>
      </c>
      <c r="T936" s="19">
        <v>-0.20917033056041826</v>
      </c>
      <c r="U936" s="19">
        <v>0</v>
      </c>
      <c r="V936" s="20">
        <v>-0.70710700000000004</v>
      </c>
      <c r="W936" s="20">
        <v>-0.70710700000000004</v>
      </c>
      <c r="Z936" s="15">
        <v>101</v>
      </c>
      <c r="AD936" s="1">
        <v>8.3151369210464203</v>
      </c>
      <c r="AE936" s="22" t="s">
        <v>89</v>
      </c>
      <c r="AF936" s="22"/>
    </row>
    <row r="937" spans="1:32" x14ac:dyDescent="0.2">
      <c r="A937" s="1">
        <v>1119</v>
      </c>
      <c r="D937" s="1" t="s">
        <v>4</v>
      </c>
      <c r="E937" s="1" t="s">
        <v>25</v>
      </c>
      <c r="F937" s="15">
        <v>0.5</v>
      </c>
      <c r="G937" s="15">
        <v>0</v>
      </c>
      <c r="H937" s="15">
        <v>0.8</v>
      </c>
      <c r="I937" s="15">
        <f t="shared" si="59"/>
        <v>0.5</v>
      </c>
      <c r="O937" s="18">
        <v>21</v>
      </c>
      <c r="Q937" s="1" t="s">
        <v>2</v>
      </c>
      <c r="R937" s="20" t="str">
        <f t="shared" si="57"/>
        <v>inclined</v>
      </c>
      <c r="S937" s="19">
        <v>0.25359588749360451</v>
      </c>
      <c r="T937" s="19">
        <v>-0.25359588749360445</v>
      </c>
      <c r="U937" s="19">
        <v>0</v>
      </c>
      <c r="V937" s="20">
        <v>-0.70710700000000004</v>
      </c>
      <c r="W937" s="20">
        <v>-0.70710700000000004</v>
      </c>
      <c r="Z937" s="15">
        <v>101</v>
      </c>
      <c r="AD937" s="1">
        <v>5.3709629487190602</v>
      </c>
      <c r="AE937" s="22" t="s">
        <v>89</v>
      </c>
      <c r="AF937" s="22"/>
    </row>
    <row r="938" spans="1:32" x14ac:dyDescent="0.2">
      <c r="A938" s="1">
        <v>1120</v>
      </c>
      <c r="D938" s="1" t="s">
        <v>4</v>
      </c>
      <c r="E938" s="1" t="s">
        <v>25</v>
      </c>
      <c r="F938" s="15">
        <v>0.5</v>
      </c>
      <c r="G938" s="15">
        <v>0</v>
      </c>
      <c r="H938" s="15">
        <v>0.8</v>
      </c>
      <c r="I938" s="15">
        <f t="shared" si="59"/>
        <v>0.5</v>
      </c>
      <c r="O938" s="18">
        <v>21</v>
      </c>
      <c r="Q938" s="1" t="s">
        <v>2</v>
      </c>
      <c r="R938" s="20" t="str">
        <f t="shared" si="57"/>
        <v>inclined</v>
      </c>
      <c r="S938" s="19">
        <v>0.30357463904343879</v>
      </c>
      <c r="T938" s="19">
        <v>-0.30357463904343873</v>
      </c>
      <c r="U938" s="19">
        <v>0</v>
      </c>
      <c r="V938" s="20">
        <v>-0.70710700000000004</v>
      </c>
      <c r="W938" s="20">
        <v>-0.70710700000000004</v>
      </c>
      <c r="Z938" s="15">
        <v>101</v>
      </c>
      <c r="AD938" s="1">
        <v>4.8809709026387704</v>
      </c>
      <c r="AE938" s="22" t="s">
        <v>89</v>
      </c>
      <c r="AF938" s="22"/>
    </row>
    <row r="939" spans="1:32" x14ac:dyDescent="0.2">
      <c r="A939" s="1">
        <v>1121</v>
      </c>
      <c r="D939" s="1" t="s">
        <v>4</v>
      </c>
      <c r="E939" s="1" t="s">
        <v>25</v>
      </c>
      <c r="F939" s="15">
        <v>0.5</v>
      </c>
      <c r="G939" s="15">
        <v>0</v>
      </c>
      <c r="H939" s="15">
        <v>0.8</v>
      </c>
      <c r="I939" s="15">
        <f t="shared" si="59"/>
        <v>0.5</v>
      </c>
      <c r="O939" s="18">
        <v>21</v>
      </c>
      <c r="Q939" s="1" t="s">
        <v>2</v>
      </c>
      <c r="R939" s="20" t="str">
        <f t="shared" si="57"/>
        <v>inclined</v>
      </c>
      <c r="S939" s="19">
        <v>0.34614913110440915</v>
      </c>
      <c r="T939" s="19">
        <v>-0.34614913110440909</v>
      </c>
      <c r="U939" s="19">
        <v>0</v>
      </c>
      <c r="V939" s="20">
        <v>-0.70710700000000004</v>
      </c>
      <c r="W939" s="20">
        <v>-0.70710700000000004</v>
      </c>
      <c r="Z939" s="15">
        <v>101</v>
      </c>
      <c r="AD939" s="1">
        <v>4.6713239343058603</v>
      </c>
      <c r="AE939" s="22" t="s">
        <v>89</v>
      </c>
      <c r="AF939" s="22"/>
    </row>
    <row r="940" spans="1:32" x14ac:dyDescent="0.2">
      <c r="A940" s="1">
        <v>1122</v>
      </c>
      <c r="D940" s="1" t="s">
        <v>4</v>
      </c>
      <c r="E940" s="1" t="s">
        <v>25</v>
      </c>
      <c r="F940" s="15">
        <v>0.5</v>
      </c>
      <c r="G940" s="15">
        <v>0</v>
      </c>
      <c r="H940" s="15">
        <v>0.8</v>
      </c>
      <c r="I940" s="15">
        <f t="shared" si="59"/>
        <v>0.5</v>
      </c>
      <c r="O940" s="18">
        <v>21</v>
      </c>
      <c r="Q940" s="1" t="s">
        <v>2</v>
      </c>
      <c r="R940" s="20" t="str">
        <f t="shared" si="57"/>
        <v>inclined</v>
      </c>
      <c r="S940" s="19">
        <v>2.2670822088597621E-3</v>
      </c>
      <c r="T940" s="19">
        <v>-1.3089005235601952E-3</v>
      </c>
      <c r="U940" s="19">
        <v>0</v>
      </c>
      <c r="V940" s="20">
        <v>-0.5</v>
      </c>
      <c r="W940" s="20">
        <v>-0.86602500000000004</v>
      </c>
      <c r="Z940" s="15">
        <v>101</v>
      </c>
      <c r="AD940" s="1">
        <v>3.0996905837827402</v>
      </c>
      <c r="AE940" s="22" t="s">
        <v>90</v>
      </c>
      <c r="AF940" s="22"/>
    </row>
    <row r="941" spans="1:32" x14ac:dyDescent="0.2">
      <c r="A941" s="1">
        <v>1123</v>
      </c>
      <c r="D941" s="1" t="s">
        <v>4</v>
      </c>
      <c r="E941" s="1" t="s">
        <v>25</v>
      </c>
      <c r="F941" s="15">
        <v>0.5</v>
      </c>
      <c r="G941" s="15">
        <v>0</v>
      </c>
      <c r="H941" s="15">
        <v>0.8</v>
      </c>
      <c r="I941" s="15">
        <f t="shared" si="59"/>
        <v>0.5</v>
      </c>
      <c r="O941" s="18">
        <v>21</v>
      </c>
      <c r="Q941" s="1" t="s">
        <v>2</v>
      </c>
      <c r="R941" s="20" t="str">
        <f t="shared" si="57"/>
        <v>inclined</v>
      </c>
      <c r="S941" s="19">
        <v>0.16322991903790454</v>
      </c>
      <c r="T941" s="19">
        <v>-9.4240837696335025E-2</v>
      </c>
      <c r="U941" s="19">
        <v>0</v>
      </c>
      <c r="V941" s="20">
        <v>-0.5</v>
      </c>
      <c r="W941" s="20">
        <v>-0.86602500000000004</v>
      </c>
      <c r="Z941" s="15">
        <v>101</v>
      </c>
      <c r="AD941" s="1">
        <v>4.9249010130321897</v>
      </c>
      <c r="AE941" s="22" t="s">
        <v>90</v>
      </c>
      <c r="AF941" s="22"/>
    </row>
    <row r="942" spans="1:32" x14ac:dyDescent="0.2">
      <c r="A942" s="1">
        <v>1124</v>
      </c>
      <c r="D942" s="1" t="s">
        <v>4</v>
      </c>
      <c r="E942" s="1" t="s">
        <v>25</v>
      </c>
      <c r="F942" s="15">
        <v>0.5</v>
      </c>
      <c r="G942" s="15">
        <v>0</v>
      </c>
      <c r="H942" s="15">
        <v>0.8</v>
      </c>
      <c r="I942" s="15">
        <f t="shared" si="59"/>
        <v>0.5</v>
      </c>
      <c r="O942" s="18">
        <v>21</v>
      </c>
      <c r="Q942" s="1" t="s">
        <v>2</v>
      </c>
      <c r="R942" s="20" t="str">
        <f t="shared" si="57"/>
        <v>inclined</v>
      </c>
      <c r="S942" s="19">
        <v>0.38540397550616368</v>
      </c>
      <c r="T942" s="19">
        <v>-0.22251308900523556</v>
      </c>
      <c r="U942" s="19">
        <v>0</v>
      </c>
      <c r="V942" s="20">
        <v>-0.5</v>
      </c>
      <c r="W942" s="20">
        <v>-0.86602500000000004</v>
      </c>
      <c r="Z942" s="15">
        <v>101</v>
      </c>
      <c r="AD942" s="1">
        <v>9.4153781608090199</v>
      </c>
      <c r="AE942" s="22" t="s">
        <v>90</v>
      </c>
      <c r="AF942" s="22"/>
    </row>
    <row r="943" spans="1:32" x14ac:dyDescent="0.2">
      <c r="A943" s="1">
        <v>1125</v>
      </c>
      <c r="D943" s="1" t="s">
        <v>4</v>
      </c>
      <c r="E943" s="1" t="s">
        <v>25</v>
      </c>
      <c r="F943" s="15">
        <v>0.5</v>
      </c>
      <c r="G943" s="15">
        <v>0</v>
      </c>
      <c r="H943" s="15">
        <v>0.8</v>
      </c>
      <c r="I943" s="15">
        <f t="shared" si="59"/>
        <v>0.5</v>
      </c>
      <c r="O943" s="18">
        <v>21</v>
      </c>
      <c r="Q943" s="1" t="s">
        <v>2</v>
      </c>
      <c r="R943" s="20" t="str">
        <f t="shared" si="57"/>
        <v>inclined</v>
      </c>
      <c r="S943" s="19">
        <v>0.46248477060739623</v>
      </c>
      <c r="T943" s="19">
        <v>-0.26701570680628256</v>
      </c>
      <c r="U943" s="19">
        <v>0</v>
      </c>
      <c r="V943" s="20">
        <v>-0.5</v>
      </c>
      <c r="W943" s="20">
        <v>-0.86602500000000004</v>
      </c>
      <c r="Z943" s="15">
        <v>101</v>
      </c>
      <c r="AD943" s="1">
        <v>7.8738473371850102</v>
      </c>
      <c r="AE943" s="22" t="s">
        <v>90</v>
      </c>
      <c r="AF943" s="22"/>
    </row>
    <row r="944" spans="1:32" x14ac:dyDescent="0.2">
      <c r="A944" s="1">
        <v>1126</v>
      </c>
      <c r="D944" s="1" t="s">
        <v>4</v>
      </c>
      <c r="E944" s="1" t="s">
        <v>25</v>
      </c>
      <c r="F944" s="15">
        <v>0.5</v>
      </c>
      <c r="G944" s="15">
        <v>0</v>
      </c>
      <c r="H944" s="15">
        <v>0.8</v>
      </c>
      <c r="I944" s="15">
        <f t="shared" si="59"/>
        <v>0.5</v>
      </c>
      <c r="O944" s="18">
        <v>21</v>
      </c>
      <c r="Q944" s="1" t="s">
        <v>2</v>
      </c>
      <c r="R944" s="20" t="str">
        <f t="shared" si="57"/>
        <v>inclined</v>
      </c>
      <c r="S944" s="19">
        <v>0.5735717988415262</v>
      </c>
      <c r="T944" s="19">
        <v>-0.33115183246073304</v>
      </c>
      <c r="U944" s="19">
        <v>0</v>
      </c>
      <c r="V944" s="20">
        <v>-0.5</v>
      </c>
      <c r="W944" s="20">
        <v>-0.86602500000000004</v>
      </c>
      <c r="Z944" s="15">
        <v>101</v>
      </c>
      <c r="AD944" s="1">
        <v>6.6366151264323499</v>
      </c>
      <c r="AE944" s="22" t="s">
        <v>90</v>
      </c>
      <c r="AF944" s="22"/>
    </row>
    <row r="945" spans="1:32" x14ac:dyDescent="0.2">
      <c r="A945" s="1">
        <v>1127</v>
      </c>
      <c r="D945" s="1" t="s">
        <v>4</v>
      </c>
      <c r="E945" s="1" t="s">
        <v>25</v>
      </c>
      <c r="F945" s="15">
        <v>0.5</v>
      </c>
      <c r="G945" s="15">
        <v>0</v>
      </c>
      <c r="H945" s="15">
        <v>0.8</v>
      </c>
      <c r="I945" s="15">
        <f t="shared" si="59"/>
        <v>0.5</v>
      </c>
      <c r="O945" s="18">
        <v>21</v>
      </c>
      <c r="Q945" s="1" t="s">
        <v>2</v>
      </c>
      <c r="R945" s="20" t="str">
        <f t="shared" si="57"/>
        <v>inclined</v>
      </c>
      <c r="S945" s="19">
        <v>0.65972092277819738</v>
      </c>
      <c r="T945" s="19">
        <v>-0.38089005235602064</v>
      </c>
      <c r="U945" s="19">
        <v>0</v>
      </c>
      <c r="V945" s="20">
        <v>-0.5</v>
      </c>
      <c r="W945" s="20">
        <v>-0.86602500000000004</v>
      </c>
      <c r="Z945" s="15">
        <v>101</v>
      </c>
      <c r="AD945" s="1">
        <v>5.8431198594516101</v>
      </c>
      <c r="AE945" s="22" t="s">
        <v>90</v>
      </c>
      <c r="AF945" s="22"/>
    </row>
    <row r="946" spans="1:32" x14ac:dyDescent="0.2">
      <c r="A946" s="1">
        <v>1128</v>
      </c>
      <c r="D946" s="1" t="s">
        <v>4</v>
      </c>
      <c r="E946" s="1" t="s">
        <v>25</v>
      </c>
      <c r="F946" s="15">
        <v>0.5</v>
      </c>
      <c r="G946" s="15">
        <v>0</v>
      </c>
      <c r="H946" s="15">
        <v>0.8</v>
      </c>
      <c r="I946" s="15">
        <f t="shared" si="59"/>
        <v>0.5</v>
      </c>
      <c r="O946" s="18">
        <v>21</v>
      </c>
      <c r="Q946" s="1" t="s">
        <v>2</v>
      </c>
      <c r="R946" s="20" t="str">
        <f t="shared" si="57"/>
        <v>inclined</v>
      </c>
      <c r="S946" s="19">
        <v>0.73680171787943072</v>
      </c>
      <c r="T946" s="19">
        <v>-0.42539267015706811</v>
      </c>
      <c r="U946" s="19">
        <v>0</v>
      </c>
      <c r="V946" s="20">
        <v>-0.5</v>
      </c>
      <c r="W946" s="20">
        <v>-0.86602500000000004</v>
      </c>
      <c r="Z946" s="15">
        <v>101</v>
      </c>
      <c r="AD946" s="1">
        <v>5.5403202545254304</v>
      </c>
      <c r="AE946" s="22" t="s">
        <v>90</v>
      </c>
      <c r="AF946" s="22"/>
    </row>
    <row r="947" spans="1:32" x14ac:dyDescent="0.2">
      <c r="A947" s="1">
        <v>1129</v>
      </c>
      <c r="D947" s="1" t="s">
        <v>4</v>
      </c>
      <c r="E947" s="1" t="s">
        <v>25</v>
      </c>
      <c r="F947" s="15">
        <v>0.5</v>
      </c>
      <c r="G947" s="15">
        <v>0</v>
      </c>
      <c r="H947" s="15">
        <v>0.8</v>
      </c>
      <c r="I947" s="15">
        <f t="shared" si="59"/>
        <v>0.5</v>
      </c>
      <c r="O947" s="18">
        <v>21</v>
      </c>
      <c r="Q947" s="1" t="s">
        <v>33</v>
      </c>
      <c r="R947" s="20" t="str">
        <f t="shared" si="57"/>
        <v>inclined</v>
      </c>
      <c r="S947" s="19">
        <v>0</v>
      </c>
      <c r="T947" s="19">
        <v>0</v>
      </c>
      <c r="U947" s="19">
        <v>0</v>
      </c>
      <c r="V947" s="20">
        <v>-0.25881900000000002</v>
      </c>
      <c r="W947" s="20">
        <v>-0.96592599999999995</v>
      </c>
      <c r="Z947" s="15">
        <v>101</v>
      </c>
      <c r="AD947" s="1">
        <v>3.0996599917838599</v>
      </c>
      <c r="AE947" s="22" t="s">
        <v>91</v>
      </c>
      <c r="AF947" s="22"/>
    </row>
    <row r="948" spans="1:32" x14ac:dyDescent="0.2">
      <c r="A948" s="1">
        <v>1130</v>
      </c>
      <c r="D948" s="1" t="s">
        <v>4</v>
      </c>
      <c r="E948" s="1" t="s">
        <v>25</v>
      </c>
      <c r="F948" s="15">
        <v>0.5</v>
      </c>
      <c r="G948" s="15">
        <v>0</v>
      </c>
      <c r="H948" s="15">
        <v>0.8</v>
      </c>
      <c r="I948" s="15">
        <f t="shared" si="59"/>
        <v>0.5</v>
      </c>
      <c r="O948" s="18">
        <v>21</v>
      </c>
      <c r="Q948" s="1" t="s">
        <v>2</v>
      </c>
      <c r="R948" s="20" t="str">
        <f t="shared" si="57"/>
        <v>inclined</v>
      </c>
      <c r="S948" s="19">
        <v>0.1517160983700106</v>
      </c>
      <c r="T948" s="19">
        <v>-4.0652206037045113E-2</v>
      </c>
      <c r="U948" s="19">
        <v>0</v>
      </c>
      <c r="V948" s="20">
        <v>-0.25881900000000002</v>
      </c>
      <c r="W948" s="20">
        <v>-0.96592599999999995</v>
      </c>
      <c r="Z948" s="15">
        <v>101</v>
      </c>
      <c r="AD948" s="1">
        <v>4.3168544432693201</v>
      </c>
      <c r="AE948" s="22" t="s">
        <v>91</v>
      </c>
      <c r="AF948" s="22"/>
    </row>
    <row r="949" spans="1:32" x14ac:dyDescent="0.2">
      <c r="A949" s="1">
        <v>1131</v>
      </c>
      <c r="D949" s="1" t="s">
        <v>4</v>
      </c>
      <c r="E949" s="1" t="s">
        <v>25</v>
      </c>
      <c r="F949" s="15">
        <v>0.5</v>
      </c>
      <c r="G949" s="15">
        <v>0</v>
      </c>
      <c r="H949" s="15">
        <v>0.8</v>
      </c>
      <c r="I949" s="15">
        <f t="shared" si="59"/>
        <v>0.5</v>
      </c>
      <c r="O949" s="18">
        <v>21</v>
      </c>
      <c r="Q949" s="1" t="s">
        <v>2</v>
      </c>
      <c r="R949" s="20" t="str">
        <f t="shared" si="57"/>
        <v>inclined</v>
      </c>
      <c r="S949" s="19">
        <v>0.46779130330753266</v>
      </c>
      <c r="T949" s="19">
        <v>-0.12534430194755578</v>
      </c>
      <c r="U949" s="19">
        <v>0</v>
      </c>
      <c r="V949" s="20">
        <v>-0.25881900000000002</v>
      </c>
      <c r="W949" s="20">
        <v>-0.96592599999999995</v>
      </c>
      <c r="Z949" s="15">
        <v>101</v>
      </c>
      <c r="AD949" s="1">
        <v>7.2188420491394796</v>
      </c>
      <c r="AE949" s="22" t="s">
        <v>91</v>
      </c>
      <c r="AF949" s="22"/>
    </row>
    <row r="950" spans="1:32" x14ac:dyDescent="0.2">
      <c r="A950" s="1">
        <v>1132</v>
      </c>
      <c r="D950" s="1" t="s">
        <v>4</v>
      </c>
      <c r="E950" s="1" t="s">
        <v>25</v>
      </c>
      <c r="F950" s="15">
        <v>0.5</v>
      </c>
      <c r="G950" s="15">
        <v>0</v>
      </c>
      <c r="H950" s="15">
        <v>0.8</v>
      </c>
      <c r="I950" s="15">
        <f t="shared" si="59"/>
        <v>0.5</v>
      </c>
      <c r="O950" s="18">
        <v>21</v>
      </c>
      <c r="Q950" s="1" t="s">
        <v>2</v>
      </c>
      <c r="R950" s="20" t="str">
        <f t="shared" si="57"/>
        <v>inclined</v>
      </c>
      <c r="S950" s="19">
        <v>0.65996502790954636</v>
      </c>
      <c r="T950" s="19">
        <v>-0.17683709626114633</v>
      </c>
      <c r="U950" s="19">
        <v>0</v>
      </c>
      <c r="V950" s="20">
        <v>-0.25881900000000002</v>
      </c>
      <c r="W950" s="20">
        <v>-0.96592599999999995</v>
      </c>
      <c r="Z950" s="15">
        <v>101</v>
      </c>
      <c r="AD950" s="1">
        <v>10.7737546871312</v>
      </c>
      <c r="AE950" s="22" t="s">
        <v>91</v>
      </c>
      <c r="AF950" s="22"/>
    </row>
    <row r="951" spans="1:32" x14ac:dyDescent="0.2">
      <c r="A951" s="1">
        <v>1133</v>
      </c>
      <c r="D951" s="1" t="s">
        <v>4</v>
      </c>
      <c r="E951" s="1" t="s">
        <v>25</v>
      </c>
      <c r="F951" s="15">
        <v>0.5</v>
      </c>
      <c r="G951" s="15">
        <v>0</v>
      </c>
      <c r="H951" s="15">
        <v>0.8</v>
      </c>
      <c r="I951" s="15">
        <f t="shared" si="59"/>
        <v>0.5</v>
      </c>
      <c r="O951" s="18">
        <v>21</v>
      </c>
      <c r="Q951" s="1" t="s">
        <v>2</v>
      </c>
      <c r="R951" s="20" t="str">
        <f t="shared" si="57"/>
        <v>inclined</v>
      </c>
      <c r="S951" s="19">
        <v>0.83190993939555813</v>
      </c>
      <c r="T951" s="19">
        <v>-0.22290959643646405</v>
      </c>
      <c r="U951" s="19">
        <v>0</v>
      </c>
      <c r="V951" s="20">
        <v>-0.25881900000000002</v>
      </c>
      <c r="W951" s="20">
        <v>-0.96592599999999995</v>
      </c>
      <c r="Z951" s="15">
        <v>101</v>
      </c>
      <c r="AD951" s="1">
        <v>10.6356012201837</v>
      </c>
      <c r="AE951" s="22" t="s">
        <v>91</v>
      </c>
      <c r="AF951" s="22"/>
    </row>
    <row r="952" spans="1:32" x14ac:dyDescent="0.2">
      <c r="A952" s="1">
        <v>1134</v>
      </c>
      <c r="D952" s="1" t="s">
        <v>4</v>
      </c>
      <c r="E952" s="1" t="s">
        <v>25</v>
      </c>
      <c r="F952" s="15">
        <v>0.5</v>
      </c>
      <c r="G952" s="15">
        <v>0</v>
      </c>
      <c r="H952" s="15">
        <v>0.8</v>
      </c>
      <c r="I952" s="15">
        <f t="shared" si="59"/>
        <v>0.5</v>
      </c>
      <c r="O952" s="18">
        <v>21</v>
      </c>
      <c r="Q952" s="1" t="s">
        <v>2</v>
      </c>
      <c r="R952" s="20" t="str">
        <f t="shared" si="57"/>
        <v>inclined</v>
      </c>
      <c r="S952" s="19">
        <v>0.98615463940506654</v>
      </c>
      <c r="T952" s="19">
        <v>-0.26423933924079263</v>
      </c>
      <c r="U952" s="19">
        <v>0</v>
      </c>
      <c r="V952" s="20">
        <v>-0.25881900000000002</v>
      </c>
      <c r="W952" s="20">
        <v>-0.96592599999999995</v>
      </c>
      <c r="Z952" s="15">
        <v>101</v>
      </c>
      <c r="AD952" s="1">
        <v>10.356999886372501</v>
      </c>
      <c r="AE952" s="22" t="s">
        <v>91</v>
      </c>
      <c r="AF952" s="22"/>
    </row>
    <row r="953" spans="1:32" x14ac:dyDescent="0.2">
      <c r="A953" s="1">
        <v>1135</v>
      </c>
      <c r="D953" s="1" t="s">
        <v>4</v>
      </c>
      <c r="E953" s="1" t="s">
        <v>25</v>
      </c>
      <c r="F953" s="15">
        <v>0.5</v>
      </c>
      <c r="G953" s="15">
        <v>0</v>
      </c>
      <c r="H953" s="15">
        <v>0.8</v>
      </c>
      <c r="I953" s="15">
        <f t="shared" si="59"/>
        <v>0.5</v>
      </c>
      <c r="O953" s="18">
        <v>21</v>
      </c>
      <c r="Q953" s="1" t="s">
        <v>2</v>
      </c>
      <c r="R953" s="20" t="str">
        <f t="shared" si="57"/>
        <v>inclined</v>
      </c>
      <c r="S953" s="19">
        <v>1.1505137459725807</v>
      </c>
      <c r="T953" s="19">
        <v>-0.30827922911425892</v>
      </c>
      <c r="U953" s="19">
        <v>0</v>
      </c>
      <c r="V953" s="20">
        <v>-0.25881900000000002</v>
      </c>
      <c r="W953" s="20">
        <v>-0.96592599999999995</v>
      </c>
      <c r="Z953" s="15">
        <v>101</v>
      </c>
      <c r="AD953" s="1">
        <v>9.4708414547806505</v>
      </c>
      <c r="AE953" s="22" t="s">
        <v>91</v>
      </c>
      <c r="AF953" s="22"/>
    </row>
    <row r="954" spans="1:32" x14ac:dyDescent="0.2">
      <c r="A954" s="1">
        <v>1136</v>
      </c>
      <c r="D954" s="1" t="s">
        <v>4</v>
      </c>
      <c r="E954" s="1" t="s">
        <v>25</v>
      </c>
      <c r="F954" s="15">
        <v>0.5</v>
      </c>
      <c r="G954" s="15">
        <v>0</v>
      </c>
      <c r="H954" s="15">
        <v>0.8</v>
      </c>
      <c r="I954" s="15">
        <f t="shared" si="59"/>
        <v>0.5</v>
      </c>
      <c r="O954" s="18">
        <v>21</v>
      </c>
      <c r="Q954" s="1" t="s">
        <v>2</v>
      </c>
      <c r="R954" s="20" t="str">
        <f t="shared" si="57"/>
        <v>inclined</v>
      </c>
      <c r="S954" s="19">
        <v>1.3578590804115913</v>
      </c>
      <c r="T954" s="19">
        <v>-0.36383724403155282</v>
      </c>
      <c r="U954" s="19">
        <v>0</v>
      </c>
      <c r="V954" s="20">
        <v>-0.25881900000000002</v>
      </c>
      <c r="W954" s="20">
        <v>-0.96592599999999995</v>
      </c>
      <c r="Z954" s="15">
        <v>101</v>
      </c>
      <c r="AD954" s="1">
        <v>9.0059042557840705</v>
      </c>
      <c r="AE954" s="22" t="s">
        <v>91</v>
      </c>
      <c r="AF954" s="22"/>
    </row>
    <row r="955" spans="1:32" x14ac:dyDescent="0.2">
      <c r="A955" s="1">
        <v>1137</v>
      </c>
      <c r="D955" s="1" t="s">
        <v>4</v>
      </c>
      <c r="E955" s="1" t="s">
        <v>25</v>
      </c>
      <c r="F955" s="15">
        <v>0.5</v>
      </c>
      <c r="G955" s="15">
        <v>0</v>
      </c>
      <c r="H955" s="15">
        <v>0.8</v>
      </c>
      <c r="I955" s="15">
        <f t="shared" si="59"/>
        <v>0.5</v>
      </c>
      <c r="O955" s="18">
        <v>21</v>
      </c>
      <c r="Q955" s="1" t="s">
        <v>2</v>
      </c>
      <c r="R955" s="20" t="str">
        <f t="shared" si="57"/>
        <v>inclined</v>
      </c>
      <c r="S955" s="19">
        <v>1.5348611951766045</v>
      </c>
      <c r="T955" s="19">
        <v>-0.41126481774143903</v>
      </c>
      <c r="U955" s="19">
        <v>0</v>
      </c>
      <c r="V955" s="20">
        <v>-0.25881900000000002</v>
      </c>
      <c r="W955" s="20">
        <v>-0.96592599999999995</v>
      </c>
      <c r="Z955" s="15">
        <v>101</v>
      </c>
      <c r="AD955" s="1">
        <v>8.0264096356055905</v>
      </c>
      <c r="AE955" s="22" t="s">
        <v>91</v>
      </c>
      <c r="AF955" s="22"/>
    </row>
    <row r="956" spans="1:32" x14ac:dyDescent="0.2">
      <c r="A956" s="1">
        <v>1138</v>
      </c>
      <c r="D956" s="1" t="s">
        <v>4</v>
      </c>
      <c r="E956" s="1" t="s">
        <v>25</v>
      </c>
      <c r="F956" s="15">
        <v>0.5</v>
      </c>
      <c r="G956" s="15">
        <v>0</v>
      </c>
      <c r="H956" s="15">
        <v>0.8</v>
      </c>
      <c r="I956" s="15">
        <f t="shared" si="59"/>
        <v>0.5</v>
      </c>
      <c r="O956" s="18">
        <v>21</v>
      </c>
      <c r="Q956" s="1" t="s">
        <v>33</v>
      </c>
      <c r="R956" s="20" t="str">
        <f t="shared" si="57"/>
        <v>inclined</v>
      </c>
      <c r="S956" s="19">
        <v>0</v>
      </c>
      <c r="T956" s="19">
        <v>0</v>
      </c>
      <c r="U956" s="19">
        <v>0</v>
      </c>
      <c r="V956" s="20">
        <v>0</v>
      </c>
      <c r="W956" s="20">
        <v>-1</v>
      </c>
      <c r="Z956" s="15">
        <v>101</v>
      </c>
      <c r="AD956" s="1">
        <v>2.8425648331861999</v>
      </c>
      <c r="AE956" s="22" t="s">
        <v>92</v>
      </c>
      <c r="AF956" s="22"/>
    </row>
    <row r="957" spans="1:32" x14ac:dyDescent="0.2">
      <c r="A957" s="1">
        <v>1139</v>
      </c>
      <c r="D957" s="1" t="s">
        <v>4</v>
      </c>
      <c r="E957" s="1" t="s">
        <v>25</v>
      </c>
      <c r="F957" s="15">
        <v>0.5</v>
      </c>
      <c r="G957" s="15">
        <v>0</v>
      </c>
      <c r="H957" s="15">
        <v>0.8</v>
      </c>
      <c r="I957" s="15">
        <f t="shared" si="59"/>
        <v>0.5</v>
      </c>
      <c r="O957" s="18">
        <v>21</v>
      </c>
      <c r="Q957" s="1" t="s">
        <v>2</v>
      </c>
      <c r="R957" s="20" t="str">
        <f t="shared" si="57"/>
        <v>inclined</v>
      </c>
      <c r="S957" s="19">
        <v>0.162303664921465</v>
      </c>
      <c r="T957" s="19">
        <v>1.9884608430453923E-17</v>
      </c>
      <c r="U957" s="19">
        <v>0</v>
      </c>
      <c r="V957" s="20">
        <v>0</v>
      </c>
      <c r="W957" s="20">
        <v>-1</v>
      </c>
      <c r="Z957" s="15">
        <v>101</v>
      </c>
      <c r="AD957" s="1">
        <v>3.7559807357812698</v>
      </c>
      <c r="AE957" s="22" t="s">
        <v>92</v>
      </c>
      <c r="AF957" s="22"/>
    </row>
    <row r="958" spans="1:32" x14ac:dyDescent="0.2">
      <c r="A958" s="1">
        <v>1140</v>
      </c>
      <c r="D958" s="1" t="s">
        <v>4</v>
      </c>
      <c r="E958" s="1" t="s">
        <v>25</v>
      </c>
      <c r="F958" s="15">
        <v>0.5</v>
      </c>
      <c r="G958" s="15">
        <v>0</v>
      </c>
      <c r="H958" s="15">
        <v>0.8</v>
      </c>
      <c r="I958" s="15">
        <f t="shared" si="59"/>
        <v>0.5</v>
      </c>
      <c r="O958" s="18">
        <v>21</v>
      </c>
      <c r="Q958" s="1" t="s">
        <v>2</v>
      </c>
      <c r="R958" s="20" t="str">
        <f t="shared" si="57"/>
        <v>inclined</v>
      </c>
      <c r="S958" s="19">
        <v>0.36125654450261702</v>
      </c>
      <c r="T958" s="19">
        <v>4.4259289732300836E-17</v>
      </c>
      <c r="U958" s="19">
        <v>0</v>
      </c>
      <c r="V958" s="20">
        <v>0</v>
      </c>
      <c r="W958" s="20">
        <v>-1</v>
      </c>
      <c r="Z958" s="15">
        <v>101</v>
      </c>
      <c r="AD958" s="1">
        <v>5.4411104021536696</v>
      </c>
      <c r="AE958" s="22" t="s">
        <v>92</v>
      </c>
      <c r="AF958" s="22"/>
    </row>
    <row r="959" spans="1:32" x14ac:dyDescent="0.2">
      <c r="A959" s="1">
        <v>1141</v>
      </c>
      <c r="D959" s="1" t="s">
        <v>4</v>
      </c>
      <c r="E959" s="1" t="s">
        <v>25</v>
      </c>
      <c r="F959" s="15">
        <v>0.5</v>
      </c>
      <c r="G959" s="15">
        <v>0</v>
      </c>
      <c r="H959" s="15">
        <v>0.8</v>
      </c>
      <c r="I959" s="15">
        <f t="shared" si="59"/>
        <v>0.5</v>
      </c>
      <c r="O959" s="18">
        <v>21</v>
      </c>
      <c r="Q959" s="1" t="s">
        <v>2</v>
      </c>
      <c r="R959" s="20" t="str">
        <f t="shared" si="57"/>
        <v>inclined</v>
      </c>
      <c r="S959" s="19">
        <v>0.73821989528795795</v>
      </c>
      <c r="T959" s="19">
        <v>9.0442896409484495E-17</v>
      </c>
      <c r="U959" s="19">
        <v>0</v>
      </c>
      <c r="V959" s="20">
        <v>0</v>
      </c>
      <c r="W959" s="20">
        <v>-1</v>
      </c>
      <c r="Z959" s="15">
        <v>101</v>
      </c>
      <c r="AD959" s="1">
        <v>7.4789046316286196</v>
      </c>
      <c r="AE959" s="22" t="s">
        <v>92</v>
      </c>
      <c r="AF959" s="22"/>
    </row>
    <row r="960" spans="1:32" x14ac:dyDescent="0.2">
      <c r="A960" s="1">
        <v>1142</v>
      </c>
      <c r="D960" s="1" t="s">
        <v>4</v>
      </c>
      <c r="E960" s="1" t="s">
        <v>25</v>
      </c>
      <c r="F960" s="15">
        <v>0.5</v>
      </c>
      <c r="G960" s="15">
        <v>0</v>
      </c>
      <c r="H960" s="15">
        <v>0.8</v>
      </c>
      <c r="I960" s="15">
        <f t="shared" si="59"/>
        <v>0.5</v>
      </c>
      <c r="O960" s="18">
        <v>21</v>
      </c>
      <c r="Q960" s="1" t="s">
        <v>2</v>
      </c>
      <c r="R960" s="20" t="str">
        <f t="shared" si="57"/>
        <v>inclined</v>
      </c>
      <c r="S960" s="19">
        <v>0.86125654450261702</v>
      </c>
      <c r="T960" s="19">
        <v>1.0551671247773184E-16</v>
      </c>
      <c r="U960" s="19">
        <v>0</v>
      </c>
      <c r="V960" s="20">
        <v>0</v>
      </c>
      <c r="W960" s="20">
        <v>-1</v>
      </c>
      <c r="Z960" s="15">
        <v>101</v>
      </c>
      <c r="AD960" s="1">
        <v>9.3968700014858904</v>
      </c>
      <c r="AE960" s="22" t="s">
        <v>92</v>
      </c>
      <c r="AF960" s="22"/>
    </row>
    <row r="961" spans="1:32" x14ac:dyDescent="0.2">
      <c r="A961" s="1">
        <v>1143</v>
      </c>
      <c r="D961" s="1" t="s">
        <v>4</v>
      </c>
      <c r="E961" s="1" t="s">
        <v>25</v>
      </c>
      <c r="F961" s="15">
        <v>0.5</v>
      </c>
      <c r="G961" s="15">
        <v>0</v>
      </c>
      <c r="H961" s="15">
        <v>0.8</v>
      </c>
      <c r="I961" s="15">
        <f t="shared" si="59"/>
        <v>0.5</v>
      </c>
      <c r="O961" s="18">
        <v>21</v>
      </c>
      <c r="Q961" s="1" t="s">
        <v>2</v>
      </c>
      <c r="R961" s="20" t="str">
        <f t="shared" si="57"/>
        <v>inclined</v>
      </c>
      <c r="S961" s="19">
        <v>1.0231023102310199</v>
      </c>
      <c r="T961" s="19">
        <v>1.2534522145929737E-16</v>
      </c>
      <c r="U961" s="19">
        <v>0</v>
      </c>
      <c r="V961" s="20">
        <v>0</v>
      </c>
      <c r="W961" s="20">
        <v>-1</v>
      </c>
      <c r="Z961" s="15">
        <v>101</v>
      </c>
      <c r="AD961" s="1">
        <v>10.663390663390601</v>
      </c>
      <c r="AE961" s="22" t="s">
        <v>92</v>
      </c>
      <c r="AF961" s="22"/>
    </row>
    <row r="962" spans="1:32" x14ac:dyDescent="0.2">
      <c r="A962" s="1">
        <v>1144</v>
      </c>
      <c r="D962" s="1" t="s">
        <v>4</v>
      </c>
      <c r="E962" s="1" t="s">
        <v>25</v>
      </c>
      <c r="F962" s="15">
        <v>0.5</v>
      </c>
      <c r="G962" s="15">
        <v>0</v>
      </c>
      <c r="H962" s="15">
        <v>0.8</v>
      </c>
      <c r="I962" s="15">
        <f t="shared" si="59"/>
        <v>0.5</v>
      </c>
      <c r="O962" s="18">
        <v>21</v>
      </c>
      <c r="Q962" s="65" t="s">
        <v>2</v>
      </c>
      <c r="R962" s="20" t="str">
        <f t="shared" si="57"/>
        <v>inclined</v>
      </c>
      <c r="S962" s="19">
        <v>1.17277486910994</v>
      </c>
      <c r="T962" s="19">
        <v>1.4368233188457021E-16</v>
      </c>
      <c r="U962" s="19">
        <v>0</v>
      </c>
      <c r="V962" s="20">
        <v>0</v>
      </c>
      <c r="W962" s="20">
        <v>-1</v>
      </c>
      <c r="Z962" s="15">
        <v>101</v>
      </c>
      <c r="AD962" s="1">
        <v>12.205184906781801</v>
      </c>
      <c r="AE962" s="22" t="s">
        <v>92</v>
      </c>
      <c r="AF962" s="22"/>
    </row>
    <row r="963" spans="1:32" x14ac:dyDescent="0.2">
      <c r="A963" s="1">
        <v>1145</v>
      </c>
      <c r="D963" s="1" t="s">
        <v>4</v>
      </c>
      <c r="E963" s="1" t="s">
        <v>25</v>
      </c>
      <c r="F963" s="15">
        <v>0.5</v>
      </c>
      <c r="G963" s="15">
        <v>0</v>
      </c>
      <c r="H963" s="15">
        <v>0.8</v>
      </c>
      <c r="I963" s="15">
        <f t="shared" si="59"/>
        <v>0.5</v>
      </c>
      <c r="O963" s="18">
        <v>21</v>
      </c>
      <c r="Q963" s="66" t="s">
        <v>2</v>
      </c>
      <c r="R963" s="20" t="str">
        <f t="shared" si="57"/>
        <v>inclined</v>
      </c>
      <c r="S963" s="19">
        <v>1.3298429319371701</v>
      </c>
      <c r="T963" s="19">
        <v>1.629255013333973E-16</v>
      </c>
      <c r="U963" s="19">
        <v>0</v>
      </c>
      <c r="V963" s="20">
        <v>0</v>
      </c>
      <c r="W963" s="20">
        <v>-1</v>
      </c>
      <c r="Z963" s="15">
        <v>101</v>
      </c>
      <c r="AD963" s="1">
        <v>12.2070204267146</v>
      </c>
      <c r="AE963" s="22" t="s">
        <v>92</v>
      </c>
      <c r="AF963" s="22"/>
    </row>
    <row r="964" spans="1:32" x14ac:dyDescent="0.2">
      <c r="A964" s="1">
        <v>1146</v>
      </c>
      <c r="D964" s="1" t="s">
        <v>4</v>
      </c>
      <c r="E964" s="1" t="s">
        <v>25</v>
      </c>
      <c r="F964" s="15">
        <v>0.5</v>
      </c>
      <c r="G964" s="15">
        <v>0</v>
      </c>
      <c r="H964" s="15">
        <v>0.8</v>
      </c>
      <c r="I964" s="15">
        <f t="shared" si="59"/>
        <v>0.5</v>
      </c>
      <c r="O964" s="18">
        <v>21</v>
      </c>
      <c r="Q964" s="66" t="s">
        <v>2</v>
      </c>
      <c r="R964" s="20" t="str">
        <f t="shared" ref="R964:R1027" si="60">R963</f>
        <v>inclined</v>
      </c>
      <c r="S964" s="19">
        <v>1.3900523560209399</v>
      </c>
      <c r="T964" s="19">
        <v>1.7030204962211416E-16</v>
      </c>
      <c r="U964" s="19">
        <v>0</v>
      </c>
      <c r="V964" s="20">
        <v>0</v>
      </c>
      <c r="W964" s="20">
        <v>-1</v>
      </c>
      <c r="Z964" s="15">
        <v>101</v>
      </c>
      <c r="AD964" s="1">
        <v>11.9038843098008</v>
      </c>
      <c r="AE964" s="22" t="s">
        <v>92</v>
      </c>
      <c r="AF964" s="22"/>
    </row>
    <row r="965" spans="1:32" x14ac:dyDescent="0.2">
      <c r="A965" s="1">
        <v>1147</v>
      </c>
      <c r="D965" s="1" t="s">
        <v>4</v>
      </c>
      <c r="E965" s="1" t="s">
        <v>25</v>
      </c>
      <c r="F965" s="15">
        <v>0.5</v>
      </c>
      <c r="G965" s="15">
        <v>0</v>
      </c>
      <c r="H965" s="15">
        <v>0.8</v>
      </c>
      <c r="I965" s="15">
        <f t="shared" si="59"/>
        <v>0.5</v>
      </c>
      <c r="O965" s="18">
        <v>21</v>
      </c>
      <c r="Q965" s="66" t="s">
        <v>2</v>
      </c>
      <c r="R965" s="20" t="str">
        <f t="shared" si="60"/>
        <v>inclined</v>
      </c>
      <c r="S965" s="19">
        <v>1.6020942408376899</v>
      </c>
      <c r="T965" s="19">
        <v>1.9628032837802942E-16</v>
      </c>
      <c r="U965" s="19">
        <v>0</v>
      </c>
      <c r="V965" s="20">
        <v>0</v>
      </c>
      <c r="W965" s="20">
        <v>-1</v>
      </c>
      <c r="Z965" s="15">
        <v>101</v>
      </c>
      <c r="AD965" s="1">
        <v>11.7895008259839</v>
      </c>
      <c r="AE965" s="22" t="s">
        <v>92</v>
      </c>
      <c r="AF965" s="22"/>
    </row>
    <row r="966" spans="1:32" x14ac:dyDescent="0.2">
      <c r="A966" s="1">
        <v>1148</v>
      </c>
      <c r="D966" s="1" t="s">
        <v>4</v>
      </c>
      <c r="E966" s="1" t="s">
        <v>25</v>
      </c>
      <c r="F966" s="15">
        <v>0.5</v>
      </c>
      <c r="G966" s="15">
        <v>0</v>
      </c>
      <c r="H966" s="15">
        <v>0.8</v>
      </c>
      <c r="I966" s="15">
        <f t="shared" si="59"/>
        <v>0.5</v>
      </c>
      <c r="O966" s="18">
        <v>21</v>
      </c>
      <c r="Q966" s="66" t="s">
        <v>2</v>
      </c>
      <c r="R966" s="20" t="str">
        <f t="shared" si="60"/>
        <v>inclined</v>
      </c>
      <c r="S966" s="19">
        <v>1.70942408376963</v>
      </c>
      <c r="T966" s="19">
        <v>2.0942982750139455E-16</v>
      </c>
      <c r="U966" s="19">
        <v>0</v>
      </c>
      <c r="V966" s="20">
        <v>0</v>
      </c>
      <c r="W966" s="20">
        <v>-1</v>
      </c>
      <c r="Z966" s="15">
        <v>101</v>
      </c>
      <c r="AD966" s="1">
        <v>11.7206382365023</v>
      </c>
      <c r="AE966" s="22" t="s">
        <v>92</v>
      </c>
      <c r="AF966" s="22"/>
    </row>
    <row r="967" spans="1:32" s="5" customFormat="1" ht="16" thickBot="1" x14ac:dyDescent="0.25">
      <c r="A967" s="1">
        <v>1149</v>
      </c>
      <c r="B967" s="24"/>
      <c r="D967" s="5" t="s">
        <v>4</v>
      </c>
      <c r="E967" s="5" t="s">
        <v>25</v>
      </c>
      <c r="F967" s="25">
        <v>0.5</v>
      </c>
      <c r="G967" s="25">
        <v>0</v>
      </c>
      <c r="H967" s="25">
        <v>0.8</v>
      </c>
      <c r="I967" s="25">
        <f t="shared" si="59"/>
        <v>0.5</v>
      </c>
      <c r="J967" s="26"/>
      <c r="K967" s="26"/>
      <c r="L967" s="26"/>
      <c r="M967" s="27"/>
      <c r="N967" s="28"/>
      <c r="O967" s="28">
        <v>21</v>
      </c>
      <c r="P967" s="29"/>
      <c r="Q967" s="66" t="s">
        <v>2</v>
      </c>
      <c r="R967" s="20" t="str">
        <f t="shared" si="60"/>
        <v>inclined</v>
      </c>
      <c r="S967" s="30">
        <v>1.86649214659685</v>
      </c>
      <c r="T967" s="30">
        <v>2.2867299695022043E-16</v>
      </c>
      <c r="U967" s="30">
        <v>0</v>
      </c>
      <c r="V967" s="31">
        <v>0</v>
      </c>
      <c r="W967" s="31">
        <v>-1</v>
      </c>
      <c r="Y967" s="28"/>
      <c r="Z967" s="25">
        <v>101</v>
      </c>
      <c r="AA967" s="26"/>
      <c r="AB967" s="26"/>
      <c r="AC967" s="26"/>
      <c r="AD967" s="5">
        <v>11.3485171621113</v>
      </c>
      <c r="AE967" s="33" t="s">
        <v>92</v>
      </c>
      <c r="AF967" s="22"/>
    </row>
    <row r="968" spans="1:32" s="3" customFormat="1" x14ac:dyDescent="0.2">
      <c r="A968" s="1">
        <v>1150</v>
      </c>
      <c r="B968" s="47"/>
      <c r="D968" s="3" t="s">
        <v>4</v>
      </c>
      <c r="E968" s="61" t="s">
        <v>81</v>
      </c>
      <c r="F968" s="34">
        <v>0.3</v>
      </c>
      <c r="G968" s="34">
        <v>0</v>
      </c>
      <c r="H968" s="34">
        <v>0.6</v>
      </c>
      <c r="I968" s="34">
        <f t="shared" si="59"/>
        <v>0.3</v>
      </c>
      <c r="J968" s="48"/>
      <c r="K968" s="48"/>
      <c r="L968" s="48"/>
      <c r="M968" s="49"/>
      <c r="N968" s="50"/>
      <c r="O968" s="50">
        <v>21</v>
      </c>
      <c r="P968" s="51"/>
      <c r="Q968" s="66" t="s">
        <v>33</v>
      </c>
      <c r="R968" s="20" t="s">
        <v>139</v>
      </c>
      <c r="S968" s="35">
        <v>0</v>
      </c>
      <c r="T968" s="35">
        <v>0</v>
      </c>
      <c r="U968" s="35">
        <v>0</v>
      </c>
      <c r="V968" s="36">
        <v>0</v>
      </c>
      <c r="W968" s="36">
        <v>-1</v>
      </c>
      <c r="Y968" s="50"/>
      <c r="Z968" s="34">
        <v>101</v>
      </c>
      <c r="AA968" s="48"/>
      <c r="AB968" s="48"/>
      <c r="AC968" s="48"/>
      <c r="AD968" s="3">
        <v>3.45743553514659</v>
      </c>
      <c r="AE968" s="62" t="s">
        <v>110</v>
      </c>
      <c r="AF968" s="22"/>
    </row>
    <row r="969" spans="1:32" x14ac:dyDescent="0.2">
      <c r="A969" s="1">
        <v>1151</v>
      </c>
      <c r="D969" s="1" t="s">
        <v>4</v>
      </c>
      <c r="E969" s="3" t="s">
        <v>81</v>
      </c>
      <c r="F969" s="15">
        <v>0.3</v>
      </c>
      <c r="G969" s="15">
        <v>0</v>
      </c>
      <c r="H969" s="15">
        <v>0.6</v>
      </c>
      <c r="I969" s="15">
        <f t="shared" ref="I969:I976" si="61">F969</f>
        <v>0.3</v>
      </c>
      <c r="O969" s="18">
        <v>21</v>
      </c>
      <c r="Q969" s="65" t="s">
        <v>2</v>
      </c>
      <c r="R969" s="20" t="str">
        <f t="shared" si="60"/>
        <v>horizontal</v>
      </c>
      <c r="S969" s="19">
        <v>0.19731543624160999</v>
      </c>
      <c r="T969" s="19">
        <v>0</v>
      </c>
      <c r="U969" s="19">
        <v>0</v>
      </c>
      <c r="V969" s="20">
        <v>0</v>
      </c>
      <c r="W969" s="20">
        <v>-1</v>
      </c>
      <c r="Z969" s="15">
        <v>101</v>
      </c>
      <c r="AD969" s="1">
        <v>5.9737094413887002</v>
      </c>
      <c r="AE969" s="37" t="s">
        <v>110</v>
      </c>
      <c r="AF969" s="22"/>
    </row>
    <row r="970" spans="1:32" x14ac:dyDescent="0.2">
      <c r="A970" s="1">
        <v>1152</v>
      </c>
      <c r="D970" s="1" t="s">
        <v>4</v>
      </c>
      <c r="E970" s="3" t="s">
        <v>81</v>
      </c>
      <c r="F970" s="15">
        <v>0.3</v>
      </c>
      <c r="G970" s="15">
        <v>0</v>
      </c>
      <c r="H970" s="15">
        <v>0.6</v>
      </c>
      <c r="I970" s="15">
        <f t="shared" si="61"/>
        <v>0.3</v>
      </c>
      <c r="O970" s="18">
        <v>21</v>
      </c>
      <c r="Q970" s="66" t="s">
        <v>2</v>
      </c>
      <c r="R970" s="20" t="str">
        <f t="shared" si="60"/>
        <v>horizontal</v>
      </c>
      <c r="S970" s="19">
        <v>0.49932885906040197</v>
      </c>
      <c r="T970" s="19">
        <v>0</v>
      </c>
      <c r="U970" s="19">
        <v>0</v>
      </c>
      <c r="V970" s="20">
        <v>0</v>
      </c>
      <c r="W970" s="20">
        <v>-1</v>
      </c>
      <c r="Z970" s="15">
        <v>101</v>
      </c>
      <c r="AD970" s="1">
        <v>9.9924812030075092</v>
      </c>
      <c r="AE970" s="37" t="s">
        <v>110</v>
      </c>
      <c r="AF970" s="22"/>
    </row>
    <row r="971" spans="1:32" x14ac:dyDescent="0.2">
      <c r="A971" s="1">
        <v>1153</v>
      </c>
      <c r="D971" s="1" t="s">
        <v>4</v>
      </c>
      <c r="E971" s="3" t="s">
        <v>81</v>
      </c>
      <c r="F971" s="15">
        <v>0.3</v>
      </c>
      <c r="G971" s="15">
        <v>0</v>
      </c>
      <c r="H971" s="15">
        <v>0.6</v>
      </c>
      <c r="I971" s="15">
        <f t="shared" si="61"/>
        <v>0.3</v>
      </c>
      <c r="O971" s="18">
        <v>21</v>
      </c>
      <c r="Q971" s="66" t="s">
        <v>2</v>
      </c>
      <c r="R971" s="20" t="str">
        <f t="shared" si="60"/>
        <v>horizontal</v>
      </c>
      <c r="S971" s="19">
        <v>0.76107382550335501</v>
      </c>
      <c r="T971" s="19">
        <v>0</v>
      </c>
      <c r="U971" s="19">
        <v>0</v>
      </c>
      <c r="V971" s="20">
        <v>0</v>
      </c>
      <c r="W971" s="20">
        <v>-1</v>
      </c>
      <c r="Z971" s="15">
        <v>101</v>
      </c>
      <c r="AD971" s="1">
        <v>13.1470959277388</v>
      </c>
      <c r="AE971" s="37" t="s">
        <v>110</v>
      </c>
      <c r="AF971" s="22"/>
    </row>
    <row r="972" spans="1:32" x14ac:dyDescent="0.2">
      <c r="A972" s="1">
        <v>1154</v>
      </c>
      <c r="D972" s="1" t="s">
        <v>4</v>
      </c>
      <c r="E972" s="3" t="s">
        <v>81</v>
      </c>
      <c r="F972" s="15">
        <v>0.3</v>
      </c>
      <c r="G972" s="15">
        <v>0</v>
      </c>
      <c r="H972" s="15">
        <v>0.6</v>
      </c>
      <c r="I972" s="15">
        <f t="shared" si="61"/>
        <v>0.3</v>
      </c>
      <c r="O972" s="18">
        <v>21</v>
      </c>
      <c r="Q972" s="66" t="s">
        <v>2</v>
      </c>
      <c r="R972" s="20" t="str">
        <f t="shared" si="60"/>
        <v>horizontal</v>
      </c>
      <c r="S972" s="19">
        <v>1.1315436241610699</v>
      </c>
      <c r="T972" s="19">
        <v>0</v>
      </c>
      <c r="U972" s="19">
        <v>0</v>
      </c>
      <c r="V972" s="20">
        <v>0</v>
      </c>
      <c r="W972" s="20">
        <v>-1</v>
      </c>
      <c r="Z972" s="15">
        <v>101</v>
      </c>
      <c r="AD972" s="1">
        <v>15.097340667104</v>
      </c>
      <c r="AE972" s="37" t="s">
        <v>110</v>
      </c>
      <c r="AF972" s="22"/>
    </row>
    <row r="973" spans="1:32" x14ac:dyDescent="0.2">
      <c r="A973" s="1">
        <v>1155</v>
      </c>
      <c r="D973" s="1" t="s">
        <v>4</v>
      </c>
      <c r="E973" s="3" t="s">
        <v>81</v>
      </c>
      <c r="F973" s="15">
        <v>0.3</v>
      </c>
      <c r="G973" s="15">
        <v>0</v>
      </c>
      <c r="H973" s="15">
        <v>0.6</v>
      </c>
      <c r="I973" s="15">
        <f t="shared" si="61"/>
        <v>0.3</v>
      </c>
      <c r="O973" s="18">
        <v>21</v>
      </c>
      <c r="Q973" s="66" t="s">
        <v>2</v>
      </c>
      <c r="R973" s="20" t="str">
        <f t="shared" si="60"/>
        <v>horizontal</v>
      </c>
      <c r="S973" s="19">
        <v>1.4738255033557</v>
      </c>
      <c r="T973" s="19">
        <v>0</v>
      </c>
      <c r="U973" s="19">
        <v>0</v>
      </c>
      <c r="V973" s="20">
        <v>0</v>
      </c>
      <c r="W973" s="20">
        <v>-1</v>
      </c>
      <c r="Z973" s="15">
        <v>101</v>
      </c>
      <c r="AD973" s="1">
        <v>14.9426754806479</v>
      </c>
      <c r="AE973" s="37" t="s">
        <v>110</v>
      </c>
      <c r="AF973" s="22"/>
    </row>
    <row r="974" spans="1:32" x14ac:dyDescent="0.2">
      <c r="A974" s="1">
        <v>1156</v>
      </c>
      <c r="D974" s="1" t="s">
        <v>4</v>
      </c>
      <c r="E974" s="3" t="s">
        <v>81</v>
      </c>
      <c r="F974" s="15">
        <v>0.3</v>
      </c>
      <c r="G974" s="15">
        <v>0</v>
      </c>
      <c r="H974" s="15">
        <v>0.6</v>
      </c>
      <c r="I974" s="15">
        <f t="shared" si="61"/>
        <v>0.3</v>
      </c>
      <c r="O974" s="18">
        <v>21</v>
      </c>
      <c r="Q974" s="66" t="s">
        <v>2</v>
      </c>
      <c r="R974" s="20" t="str">
        <f t="shared" si="60"/>
        <v>horizontal</v>
      </c>
      <c r="S974" s="19">
        <v>1.83624161073825</v>
      </c>
      <c r="T974" s="19">
        <v>0</v>
      </c>
      <c r="U974" s="19">
        <v>0</v>
      </c>
      <c r="V974" s="20">
        <v>0</v>
      </c>
      <c r="W974" s="20">
        <v>-1</v>
      </c>
      <c r="Z974" s="15">
        <v>101</v>
      </c>
      <c r="AD974" s="1">
        <v>14.449412120906199</v>
      </c>
      <c r="AE974" s="37" t="s">
        <v>110</v>
      </c>
      <c r="AF974" s="22"/>
    </row>
    <row r="975" spans="1:32" x14ac:dyDescent="0.2">
      <c r="A975" s="1">
        <v>1157</v>
      </c>
      <c r="D975" s="1" t="s">
        <v>4</v>
      </c>
      <c r="E975" s="3" t="s">
        <v>81</v>
      </c>
      <c r="F975" s="15">
        <v>0.3</v>
      </c>
      <c r="G975" s="15">
        <v>0</v>
      </c>
      <c r="H975" s="15">
        <v>0.6</v>
      </c>
      <c r="I975" s="15">
        <f t="shared" si="61"/>
        <v>0.3</v>
      </c>
      <c r="O975" s="18">
        <v>21</v>
      </c>
      <c r="Q975" s="66" t="s">
        <v>2</v>
      </c>
      <c r="R975" s="20" t="str">
        <f t="shared" si="60"/>
        <v>horizontal</v>
      </c>
      <c r="S975" s="19">
        <v>1.9530201342281801</v>
      </c>
      <c r="T975" s="19">
        <v>0</v>
      </c>
      <c r="U975" s="19">
        <v>0</v>
      </c>
      <c r="V975" s="20">
        <v>0</v>
      </c>
      <c r="W975" s="20">
        <v>-1</v>
      </c>
      <c r="Z975" s="15">
        <v>101</v>
      </c>
      <c r="AD975" s="1">
        <v>14.410354745925201</v>
      </c>
      <c r="AE975" s="37" t="s">
        <v>110</v>
      </c>
      <c r="AF975" s="22"/>
    </row>
    <row r="976" spans="1:32" x14ac:dyDescent="0.2">
      <c r="A976" s="1">
        <v>1158</v>
      </c>
      <c r="D976" s="1" t="s">
        <v>4</v>
      </c>
      <c r="E976" s="3" t="s">
        <v>81</v>
      </c>
      <c r="F976" s="15">
        <v>0.5</v>
      </c>
      <c r="G976" s="15">
        <v>0</v>
      </c>
      <c r="H976" s="15">
        <v>0.8</v>
      </c>
      <c r="I976" s="15">
        <f t="shared" si="61"/>
        <v>0.5</v>
      </c>
      <c r="O976" s="18">
        <v>21</v>
      </c>
      <c r="Q976" s="1" t="s">
        <v>33</v>
      </c>
      <c r="R976" s="20" t="str">
        <f t="shared" si="60"/>
        <v>horizontal</v>
      </c>
      <c r="S976" s="19">
        <v>0</v>
      </c>
      <c r="T976" s="19">
        <v>0</v>
      </c>
      <c r="U976" s="19">
        <v>0</v>
      </c>
      <c r="V976" s="20">
        <v>0</v>
      </c>
      <c r="W976" s="20">
        <v>-1</v>
      </c>
      <c r="Z976" s="15">
        <v>101</v>
      </c>
      <c r="AD976" s="1">
        <v>2.8183377907856899</v>
      </c>
      <c r="AE976" s="37" t="s">
        <v>110</v>
      </c>
      <c r="AF976" s="22"/>
    </row>
    <row r="977" spans="1:32" x14ac:dyDescent="0.2">
      <c r="A977" s="1">
        <v>1159</v>
      </c>
      <c r="D977" s="1" t="s">
        <v>4</v>
      </c>
      <c r="E977" s="3" t="s">
        <v>81</v>
      </c>
      <c r="F977" s="15">
        <v>0.5</v>
      </c>
      <c r="G977" s="15">
        <v>0</v>
      </c>
      <c r="H977" s="15">
        <v>0.8</v>
      </c>
      <c r="I977" s="15">
        <f t="shared" ref="I977:I988" si="62">F977</f>
        <v>0.5</v>
      </c>
      <c r="O977" s="18">
        <v>21</v>
      </c>
      <c r="Q977" s="65" t="s">
        <v>2</v>
      </c>
      <c r="R977" s="20" t="str">
        <f t="shared" si="60"/>
        <v>horizontal</v>
      </c>
      <c r="S977" s="19">
        <v>0.161073825503355</v>
      </c>
      <c r="T977" s="19">
        <v>0</v>
      </c>
      <c r="U977" s="19">
        <v>0</v>
      </c>
      <c r="V977" s="20">
        <v>0</v>
      </c>
      <c r="W977" s="20">
        <v>-1</v>
      </c>
      <c r="Z977" s="15">
        <v>101</v>
      </c>
      <c r="AD977" s="1">
        <v>3.7185244991673798</v>
      </c>
      <c r="AE977" s="37" t="s">
        <v>110</v>
      </c>
      <c r="AF977" s="22"/>
    </row>
    <row r="978" spans="1:32" x14ac:dyDescent="0.2">
      <c r="A978" s="1">
        <v>1160</v>
      </c>
      <c r="D978" s="1" t="s">
        <v>4</v>
      </c>
      <c r="E978" s="3" t="s">
        <v>81</v>
      </c>
      <c r="F978" s="15">
        <v>0.5</v>
      </c>
      <c r="G978" s="15">
        <v>0</v>
      </c>
      <c r="H978" s="15">
        <v>0.8</v>
      </c>
      <c r="I978" s="15">
        <f t="shared" si="62"/>
        <v>0.5</v>
      </c>
      <c r="O978" s="18">
        <v>21</v>
      </c>
      <c r="Q978" s="66" t="s">
        <v>2</v>
      </c>
      <c r="R978" s="20" t="str">
        <f t="shared" si="60"/>
        <v>horizontal</v>
      </c>
      <c r="S978" s="19">
        <v>0.35838926174496599</v>
      </c>
      <c r="T978" s="19">
        <v>0</v>
      </c>
      <c r="U978" s="19">
        <v>0</v>
      </c>
      <c r="V978" s="20">
        <v>0</v>
      </c>
      <c r="W978" s="20">
        <v>-1</v>
      </c>
      <c r="Z978" s="15">
        <v>101</v>
      </c>
      <c r="AD978" s="1">
        <v>5.3701872129989399</v>
      </c>
      <c r="AE978" s="37" t="s">
        <v>110</v>
      </c>
      <c r="AF978" s="22"/>
    </row>
    <row r="979" spans="1:32" x14ac:dyDescent="0.2">
      <c r="A979" s="1">
        <v>1161</v>
      </c>
      <c r="D979" s="1" t="s">
        <v>4</v>
      </c>
      <c r="E979" s="3" t="s">
        <v>81</v>
      </c>
      <c r="F979" s="15">
        <v>0.5</v>
      </c>
      <c r="G979" s="15">
        <v>0</v>
      </c>
      <c r="H979" s="15">
        <v>0.8</v>
      </c>
      <c r="I979" s="15">
        <f t="shared" si="62"/>
        <v>0.5</v>
      </c>
      <c r="O979" s="18">
        <v>21</v>
      </c>
      <c r="Q979" s="66" t="s">
        <v>2</v>
      </c>
      <c r="R979" s="20" t="str">
        <f t="shared" si="60"/>
        <v>horizontal</v>
      </c>
      <c r="S979" s="19">
        <v>0.73691275167785197</v>
      </c>
      <c r="T979" s="19">
        <v>0</v>
      </c>
      <c r="U979" s="19">
        <v>0</v>
      </c>
      <c r="V979" s="20">
        <v>0</v>
      </c>
      <c r="W979" s="20">
        <v>-1</v>
      </c>
      <c r="Z979" s="15">
        <v>101</v>
      </c>
      <c r="AD979" s="1">
        <v>7.43311298380178</v>
      </c>
      <c r="AE979" s="37" t="s">
        <v>110</v>
      </c>
      <c r="AF979" s="22"/>
    </row>
    <row r="980" spans="1:32" x14ac:dyDescent="0.2">
      <c r="A980" s="1">
        <v>1162</v>
      </c>
      <c r="D980" s="1" t="s">
        <v>4</v>
      </c>
      <c r="E980" s="3" t="s">
        <v>81</v>
      </c>
      <c r="F980" s="15">
        <v>0.5</v>
      </c>
      <c r="G980" s="15">
        <v>0</v>
      </c>
      <c r="H980" s="15">
        <v>0.8</v>
      </c>
      <c r="I980" s="15">
        <f t="shared" si="62"/>
        <v>0.5</v>
      </c>
      <c r="O980" s="18">
        <v>21</v>
      </c>
      <c r="Q980" s="66" t="s">
        <v>2</v>
      </c>
      <c r="R980" s="20" t="str">
        <f t="shared" si="60"/>
        <v>horizontal</v>
      </c>
      <c r="S980" s="19">
        <v>0.85771812080536902</v>
      </c>
      <c r="T980" s="19">
        <v>0</v>
      </c>
      <c r="U980" s="19">
        <v>0</v>
      </c>
      <c r="V980" s="20">
        <v>0</v>
      </c>
      <c r="W980" s="20">
        <v>-1</v>
      </c>
      <c r="Z980" s="15">
        <v>101</v>
      </c>
      <c r="AD980" s="1">
        <v>9.3488923651410403</v>
      </c>
      <c r="AE980" s="37" t="s">
        <v>110</v>
      </c>
      <c r="AF980" s="22"/>
    </row>
    <row r="981" spans="1:32" x14ac:dyDescent="0.2">
      <c r="A981" s="1">
        <v>1163</v>
      </c>
      <c r="D981" s="1" t="s">
        <v>4</v>
      </c>
      <c r="E981" s="3" t="s">
        <v>81</v>
      </c>
      <c r="F981" s="15">
        <v>0.5</v>
      </c>
      <c r="G981" s="15">
        <v>0</v>
      </c>
      <c r="H981" s="15">
        <v>0.8</v>
      </c>
      <c r="I981" s="15">
        <f t="shared" si="62"/>
        <v>0.5</v>
      </c>
      <c r="O981" s="18">
        <v>21</v>
      </c>
      <c r="Q981" s="66" t="s">
        <v>2</v>
      </c>
      <c r="R981" s="20" t="str">
        <f t="shared" si="60"/>
        <v>horizontal</v>
      </c>
      <c r="S981" s="19">
        <v>1.0228187919463001</v>
      </c>
      <c r="T981" s="19">
        <v>0</v>
      </c>
      <c r="U981" s="19">
        <v>0</v>
      </c>
      <c r="V981" s="20">
        <v>0</v>
      </c>
      <c r="W981" s="20">
        <v>-1</v>
      </c>
      <c r="Z981" s="15">
        <v>101</v>
      </c>
      <c r="AD981" s="1">
        <v>10.625018923146699</v>
      </c>
      <c r="AE981" s="37" t="s">
        <v>110</v>
      </c>
      <c r="AF981" s="22"/>
    </row>
    <row r="982" spans="1:32" x14ac:dyDescent="0.2">
      <c r="A982" s="1">
        <v>1164</v>
      </c>
      <c r="D982" s="1" t="s">
        <v>4</v>
      </c>
      <c r="E982" s="3" t="s">
        <v>81</v>
      </c>
      <c r="F982" s="15">
        <v>0.5</v>
      </c>
      <c r="G982" s="15">
        <v>0</v>
      </c>
      <c r="H982" s="15">
        <v>0.8</v>
      </c>
      <c r="I982" s="15">
        <f t="shared" si="62"/>
        <v>0.5</v>
      </c>
      <c r="O982" s="18">
        <v>21</v>
      </c>
      <c r="Q982" s="66" t="s">
        <v>2</v>
      </c>
      <c r="R982" s="20" t="str">
        <f t="shared" si="60"/>
        <v>horizontal</v>
      </c>
      <c r="S982" s="19">
        <v>1.1718120805369101</v>
      </c>
      <c r="T982" s="19">
        <v>0</v>
      </c>
      <c r="U982" s="19">
        <v>0</v>
      </c>
      <c r="V982" s="20">
        <v>0</v>
      </c>
      <c r="W982" s="20">
        <v>-1</v>
      </c>
      <c r="Z982" s="15">
        <v>101</v>
      </c>
      <c r="AD982" s="1">
        <v>12.1269112378261</v>
      </c>
      <c r="AE982" s="37" t="s">
        <v>110</v>
      </c>
      <c r="AF982" s="22"/>
    </row>
    <row r="983" spans="1:32" x14ac:dyDescent="0.2">
      <c r="A983" s="1">
        <v>1165</v>
      </c>
      <c r="D983" s="1" t="s">
        <v>4</v>
      </c>
      <c r="E983" s="3" t="s">
        <v>81</v>
      </c>
      <c r="F983" s="15">
        <v>0.5</v>
      </c>
      <c r="G983" s="15">
        <v>0</v>
      </c>
      <c r="H983" s="15">
        <v>0.8</v>
      </c>
      <c r="I983" s="15">
        <f t="shared" si="62"/>
        <v>0.5</v>
      </c>
      <c r="O983" s="18">
        <v>21</v>
      </c>
      <c r="Q983" s="66" t="s">
        <v>2</v>
      </c>
      <c r="R983" s="20" t="str">
        <f t="shared" si="60"/>
        <v>horizontal</v>
      </c>
      <c r="S983" s="19">
        <v>1.32885906040268</v>
      </c>
      <c r="T983" s="19">
        <v>0</v>
      </c>
      <c r="U983" s="19">
        <v>0</v>
      </c>
      <c r="V983" s="20">
        <v>0</v>
      </c>
      <c r="W983" s="20">
        <v>-1</v>
      </c>
      <c r="Z983" s="15">
        <v>101</v>
      </c>
      <c r="AD983" s="1">
        <v>12.1249432305596</v>
      </c>
      <c r="AE983" s="37" t="s">
        <v>110</v>
      </c>
      <c r="AF983" s="22"/>
    </row>
    <row r="984" spans="1:32" x14ac:dyDescent="0.2">
      <c r="A984" s="1">
        <v>1166</v>
      </c>
      <c r="D984" s="1" t="s">
        <v>4</v>
      </c>
      <c r="E984" s="3" t="s">
        <v>81</v>
      </c>
      <c r="F984" s="15">
        <v>0.5</v>
      </c>
      <c r="G984" s="15">
        <v>0</v>
      </c>
      <c r="H984" s="15">
        <v>0.8</v>
      </c>
      <c r="I984" s="15">
        <f t="shared" si="62"/>
        <v>0.5</v>
      </c>
      <c r="O984" s="18">
        <v>21</v>
      </c>
      <c r="Q984" s="65" t="s">
        <v>2</v>
      </c>
      <c r="R984" s="20" t="str">
        <f t="shared" si="60"/>
        <v>horizontal</v>
      </c>
      <c r="S984" s="19">
        <v>1.39731543624161</v>
      </c>
      <c r="T984" s="19">
        <v>0</v>
      </c>
      <c r="U984" s="19">
        <v>0</v>
      </c>
      <c r="V984" s="20">
        <v>0</v>
      </c>
      <c r="W984" s="20">
        <v>-1</v>
      </c>
      <c r="Z984" s="15">
        <v>101</v>
      </c>
      <c r="AD984" s="1">
        <v>11.823333501539</v>
      </c>
      <c r="AE984" s="37" t="s">
        <v>110</v>
      </c>
      <c r="AF984" s="22"/>
    </row>
    <row r="985" spans="1:32" x14ac:dyDescent="0.2">
      <c r="A985" s="1">
        <v>1167</v>
      </c>
      <c r="D985" s="1" t="s">
        <v>4</v>
      </c>
      <c r="E985" s="3" t="s">
        <v>81</v>
      </c>
      <c r="F985" s="15">
        <v>0.5</v>
      </c>
      <c r="G985" s="15">
        <v>0</v>
      </c>
      <c r="H985" s="15">
        <v>0.8</v>
      </c>
      <c r="I985" s="15">
        <f t="shared" si="62"/>
        <v>0.5</v>
      </c>
      <c r="O985" s="18">
        <v>21</v>
      </c>
      <c r="Q985" s="66" t="s">
        <v>2</v>
      </c>
      <c r="R985" s="20" t="str">
        <f t="shared" si="60"/>
        <v>horizontal</v>
      </c>
      <c r="S985" s="19">
        <v>1.60268456375838</v>
      </c>
      <c r="T985" s="19">
        <v>0</v>
      </c>
      <c r="U985" s="19">
        <v>0</v>
      </c>
      <c r="V985" s="20">
        <v>0</v>
      </c>
      <c r="W985" s="20">
        <v>-1</v>
      </c>
      <c r="Z985" s="15">
        <v>101</v>
      </c>
      <c r="AD985" s="1">
        <v>11.7455719836504</v>
      </c>
      <c r="AE985" s="37" t="s">
        <v>110</v>
      </c>
      <c r="AF985" s="22"/>
    </row>
    <row r="986" spans="1:32" x14ac:dyDescent="0.2">
      <c r="A986" s="1">
        <v>1168</v>
      </c>
      <c r="D986" s="1" t="s">
        <v>4</v>
      </c>
      <c r="E986" s="3" t="s">
        <v>81</v>
      </c>
      <c r="F986" s="15">
        <v>0.5</v>
      </c>
      <c r="G986" s="15">
        <v>0</v>
      </c>
      <c r="H986" s="15">
        <v>0.8</v>
      </c>
      <c r="I986" s="15">
        <f t="shared" si="62"/>
        <v>0.5</v>
      </c>
      <c r="O986" s="18">
        <v>21</v>
      </c>
      <c r="Q986" s="66" t="s">
        <v>2</v>
      </c>
      <c r="R986" s="20" t="str">
        <f t="shared" si="60"/>
        <v>horizontal</v>
      </c>
      <c r="S986" s="19">
        <v>1.71140939597315</v>
      </c>
      <c r="T986" s="19">
        <v>0</v>
      </c>
      <c r="U986" s="19">
        <v>0</v>
      </c>
      <c r="V986" s="20">
        <v>0</v>
      </c>
      <c r="W986" s="20">
        <v>-1</v>
      </c>
      <c r="Z986" s="15">
        <v>101</v>
      </c>
      <c r="AD986" s="1">
        <v>11.631427562194</v>
      </c>
      <c r="AE986" s="37" t="s">
        <v>110</v>
      </c>
      <c r="AF986" s="22"/>
    </row>
    <row r="987" spans="1:32" x14ac:dyDescent="0.2">
      <c r="A987" s="1">
        <v>1169</v>
      </c>
      <c r="D987" s="1" t="s">
        <v>4</v>
      </c>
      <c r="E987" s="3" t="s">
        <v>81</v>
      </c>
      <c r="F987" s="15">
        <v>0.5</v>
      </c>
      <c r="G987" s="15">
        <v>0</v>
      </c>
      <c r="H987" s="15">
        <v>0.8</v>
      </c>
      <c r="I987" s="15">
        <f t="shared" si="62"/>
        <v>0.5</v>
      </c>
      <c r="O987" s="18">
        <v>21</v>
      </c>
      <c r="Q987" s="66" t="s">
        <v>2</v>
      </c>
      <c r="R987" s="20" t="str">
        <f t="shared" si="60"/>
        <v>horizontal</v>
      </c>
      <c r="S987" s="19">
        <v>1.8644295302013401</v>
      </c>
      <c r="T987" s="19">
        <v>0</v>
      </c>
      <c r="U987" s="19">
        <v>0</v>
      </c>
      <c r="V987" s="20">
        <v>0</v>
      </c>
      <c r="W987" s="20">
        <v>-1</v>
      </c>
      <c r="Z987" s="15">
        <v>101</v>
      </c>
      <c r="AD987" s="1">
        <v>11.2535701670283</v>
      </c>
      <c r="AE987" s="37" t="s">
        <v>110</v>
      </c>
      <c r="AF987" s="22"/>
    </row>
    <row r="988" spans="1:32" x14ac:dyDescent="0.2">
      <c r="A988" s="1">
        <v>1170</v>
      </c>
      <c r="D988" s="1" t="s">
        <v>4</v>
      </c>
      <c r="E988" s="3" t="s">
        <v>81</v>
      </c>
      <c r="F988" s="15">
        <v>0.8</v>
      </c>
      <c r="G988" s="15">
        <v>0</v>
      </c>
      <c r="H988" s="15">
        <v>1.1000000000000001</v>
      </c>
      <c r="I988" s="15">
        <f t="shared" si="62"/>
        <v>0.8</v>
      </c>
      <c r="O988" s="18">
        <v>21</v>
      </c>
      <c r="Q988" s="66" t="s">
        <v>33</v>
      </c>
      <c r="R988" s="20" t="str">
        <f t="shared" si="60"/>
        <v>horizontal</v>
      </c>
      <c r="S988" s="19">
        <v>0</v>
      </c>
      <c r="T988" s="19">
        <v>0</v>
      </c>
      <c r="U988" s="19">
        <v>0</v>
      </c>
      <c r="V988" s="20">
        <v>0</v>
      </c>
      <c r="W988" s="20">
        <v>-1</v>
      </c>
      <c r="Z988" s="15">
        <v>101</v>
      </c>
      <c r="AD988" s="1">
        <v>2.40480395619922</v>
      </c>
      <c r="AE988" s="37" t="s">
        <v>110</v>
      </c>
      <c r="AF988" s="22"/>
    </row>
    <row r="989" spans="1:32" x14ac:dyDescent="0.2">
      <c r="A989" s="1">
        <v>1171</v>
      </c>
      <c r="D989" s="1" t="s">
        <v>4</v>
      </c>
      <c r="E989" s="3" t="s">
        <v>81</v>
      </c>
      <c r="F989" s="15">
        <v>0.8</v>
      </c>
      <c r="G989" s="15">
        <v>0</v>
      </c>
      <c r="H989" s="15">
        <v>1.1000000000000001</v>
      </c>
      <c r="I989" s="15">
        <f t="shared" ref="I989:I996" si="63">F989</f>
        <v>0.8</v>
      </c>
      <c r="O989" s="18">
        <v>21</v>
      </c>
      <c r="Q989" s="66" t="s">
        <v>2</v>
      </c>
      <c r="R989" s="20" t="str">
        <f t="shared" si="60"/>
        <v>horizontal</v>
      </c>
      <c r="S989" s="19">
        <v>0.169127516778523</v>
      </c>
      <c r="T989" s="19">
        <v>0</v>
      </c>
      <c r="U989" s="19">
        <v>0</v>
      </c>
      <c r="V989" s="20">
        <v>0</v>
      </c>
      <c r="W989" s="20">
        <v>-1</v>
      </c>
      <c r="Z989" s="15">
        <v>101</v>
      </c>
      <c r="AD989" s="1">
        <v>2.89135590654488</v>
      </c>
      <c r="AE989" s="37" t="s">
        <v>110</v>
      </c>
      <c r="AF989" s="22"/>
    </row>
    <row r="990" spans="1:32" x14ac:dyDescent="0.2">
      <c r="A990" s="1">
        <v>1172</v>
      </c>
      <c r="D990" s="1" t="s">
        <v>4</v>
      </c>
      <c r="E990" s="3" t="s">
        <v>81</v>
      </c>
      <c r="F990" s="15">
        <v>0.8</v>
      </c>
      <c r="G990" s="15">
        <v>0</v>
      </c>
      <c r="H990" s="15">
        <v>1.1000000000000001</v>
      </c>
      <c r="I990" s="15">
        <f t="shared" si="63"/>
        <v>0.8</v>
      </c>
      <c r="O990" s="18">
        <v>21</v>
      </c>
      <c r="Q990" s="66" t="s">
        <v>2</v>
      </c>
      <c r="R990" s="20" t="str">
        <f t="shared" si="60"/>
        <v>horizontal</v>
      </c>
      <c r="S990" s="19">
        <v>0.44697986577181198</v>
      </c>
      <c r="T990" s="19">
        <v>0</v>
      </c>
      <c r="U990" s="19">
        <v>0</v>
      </c>
      <c r="V990" s="20">
        <v>0</v>
      </c>
      <c r="W990" s="20">
        <v>-1</v>
      </c>
      <c r="Z990" s="15">
        <v>101</v>
      </c>
      <c r="AD990" s="1">
        <v>4.2036635212191502</v>
      </c>
      <c r="AE990" s="37" t="s">
        <v>110</v>
      </c>
      <c r="AF990" s="22"/>
    </row>
    <row r="991" spans="1:32" x14ac:dyDescent="0.2">
      <c r="A991" s="1">
        <v>1173</v>
      </c>
      <c r="D991" s="1" t="s">
        <v>4</v>
      </c>
      <c r="E991" s="3" t="s">
        <v>81</v>
      </c>
      <c r="F991" s="15">
        <v>0.8</v>
      </c>
      <c r="G991" s="15">
        <v>0</v>
      </c>
      <c r="H991" s="15">
        <v>1.1000000000000001</v>
      </c>
      <c r="I991" s="15">
        <f t="shared" si="63"/>
        <v>0.8</v>
      </c>
      <c r="O991" s="18">
        <v>21</v>
      </c>
      <c r="Q991" s="65" t="s">
        <v>2</v>
      </c>
      <c r="R991" s="20" t="str">
        <f t="shared" si="60"/>
        <v>horizontal</v>
      </c>
      <c r="S991" s="19">
        <v>0.676510067114094</v>
      </c>
      <c r="T991" s="19">
        <v>0</v>
      </c>
      <c r="U991" s="19">
        <v>0</v>
      </c>
      <c r="V991" s="20">
        <v>0</v>
      </c>
      <c r="W991" s="20">
        <v>-1</v>
      </c>
      <c r="Z991" s="15">
        <v>101</v>
      </c>
      <c r="AD991" s="1">
        <v>5.5165766765908</v>
      </c>
      <c r="AE991" s="37" t="s">
        <v>110</v>
      </c>
      <c r="AF991" s="22"/>
    </row>
    <row r="992" spans="1:32" x14ac:dyDescent="0.2">
      <c r="A992" s="1">
        <v>1174</v>
      </c>
      <c r="D992" s="1" t="s">
        <v>4</v>
      </c>
      <c r="E992" s="3" t="s">
        <v>81</v>
      </c>
      <c r="F992" s="15">
        <v>0.8</v>
      </c>
      <c r="G992" s="15">
        <v>0</v>
      </c>
      <c r="H992" s="15">
        <v>1.1000000000000001</v>
      </c>
      <c r="I992" s="15">
        <f t="shared" si="63"/>
        <v>0.8</v>
      </c>
      <c r="O992" s="18">
        <v>21</v>
      </c>
      <c r="Q992" s="66" t="s">
        <v>2</v>
      </c>
      <c r="R992" s="20" t="str">
        <f t="shared" si="60"/>
        <v>horizontal</v>
      </c>
      <c r="S992" s="19">
        <v>0.93020134228187901</v>
      </c>
      <c r="T992" s="19">
        <v>0</v>
      </c>
      <c r="U992" s="19">
        <v>0</v>
      </c>
      <c r="V992" s="20">
        <v>0</v>
      </c>
      <c r="W992" s="20">
        <v>-1</v>
      </c>
      <c r="Z992" s="15">
        <v>101</v>
      </c>
      <c r="AD992" s="1">
        <v>7.6562547307866904</v>
      </c>
      <c r="AE992" s="37" t="s">
        <v>110</v>
      </c>
      <c r="AF992" s="22"/>
    </row>
    <row r="993" spans="1:32" x14ac:dyDescent="0.2">
      <c r="A993" s="1">
        <v>1175</v>
      </c>
      <c r="D993" s="1" t="s">
        <v>4</v>
      </c>
      <c r="E993" s="3" t="s">
        <v>81</v>
      </c>
      <c r="F993" s="15">
        <v>0.8</v>
      </c>
      <c r="G993" s="15">
        <v>0</v>
      </c>
      <c r="H993" s="15">
        <v>1.1000000000000001</v>
      </c>
      <c r="I993" s="15">
        <f t="shared" si="63"/>
        <v>0.8</v>
      </c>
      <c r="O993" s="18">
        <v>21</v>
      </c>
      <c r="Q993" s="66" t="s">
        <v>2</v>
      </c>
      <c r="R993" s="20" t="str">
        <f t="shared" si="60"/>
        <v>horizontal</v>
      </c>
      <c r="S993" s="19">
        <v>1.20805369127516</v>
      </c>
      <c r="T993" s="19">
        <v>0</v>
      </c>
      <c r="U993" s="19">
        <v>0</v>
      </c>
      <c r="V993" s="20">
        <v>0</v>
      </c>
      <c r="W993" s="20">
        <v>-1</v>
      </c>
      <c r="Z993" s="15">
        <v>101</v>
      </c>
      <c r="AD993" s="1">
        <v>9.0813443003481797</v>
      </c>
      <c r="AE993" s="37" t="s">
        <v>110</v>
      </c>
      <c r="AF993" s="22"/>
    </row>
    <row r="994" spans="1:32" x14ac:dyDescent="0.2">
      <c r="A994" s="1">
        <v>1176</v>
      </c>
      <c r="D994" s="1" t="s">
        <v>4</v>
      </c>
      <c r="E994" s="3" t="s">
        <v>81</v>
      </c>
      <c r="F994" s="15">
        <v>0.8</v>
      </c>
      <c r="G994" s="15">
        <v>0</v>
      </c>
      <c r="H994" s="15">
        <v>1.1000000000000001</v>
      </c>
      <c r="I994" s="15">
        <f t="shared" si="63"/>
        <v>0.8</v>
      </c>
      <c r="O994" s="18">
        <v>21</v>
      </c>
      <c r="Q994" s="66" t="s">
        <v>2</v>
      </c>
      <c r="R994" s="20" t="str">
        <f t="shared" si="60"/>
        <v>horizontal</v>
      </c>
      <c r="S994" s="19">
        <v>1.4738255033557</v>
      </c>
      <c r="T994" s="19">
        <v>0</v>
      </c>
      <c r="U994" s="19">
        <v>0</v>
      </c>
      <c r="V994" s="20">
        <v>0</v>
      </c>
      <c r="W994" s="20">
        <v>-1</v>
      </c>
      <c r="Z994" s="15">
        <v>101</v>
      </c>
      <c r="AD994" s="1">
        <v>9.3411717212494292</v>
      </c>
      <c r="AE994" s="37" t="s">
        <v>110</v>
      </c>
      <c r="AF994" s="22"/>
    </row>
    <row r="995" spans="1:32" x14ac:dyDescent="0.2">
      <c r="A995" s="1">
        <v>1177</v>
      </c>
      <c r="D995" s="1" t="s">
        <v>4</v>
      </c>
      <c r="E995" s="3" t="s">
        <v>81</v>
      </c>
      <c r="F995" s="15">
        <v>0.8</v>
      </c>
      <c r="G995" s="15">
        <v>0</v>
      </c>
      <c r="H995" s="15">
        <v>1.1000000000000001</v>
      </c>
      <c r="I995" s="15">
        <f t="shared" si="63"/>
        <v>0.8</v>
      </c>
      <c r="O995" s="18">
        <v>21</v>
      </c>
      <c r="Q995" s="66" t="s">
        <v>2</v>
      </c>
      <c r="R995" s="20" t="str">
        <f t="shared" si="60"/>
        <v>horizontal</v>
      </c>
      <c r="S995" s="19">
        <v>1.8080536912751599</v>
      </c>
      <c r="T995" s="19">
        <v>0</v>
      </c>
      <c r="U995" s="19">
        <v>0</v>
      </c>
      <c r="V995" s="20">
        <v>0</v>
      </c>
      <c r="W995" s="20">
        <v>-1</v>
      </c>
      <c r="Z995" s="15">
        <v>101</v>
      </c>
      <c r="AD995" s="1">
        <v>8.54750971388202</v>
      </c>
      <c r="AE995" s="37" t="s">
        <v>110</v>
      </c>
      <c r="AF995" s="22"/>
    </row>
    <row r="996" spans="1:32" x14ac:dyDescent="0.2">
      <c r="A996" s="1">
        <v>1178</v>
      </c>
      <c r="D996" s="1" t="s">
        <v>4</v>
      </c>
      <c r="E996" s="3" t="s">
        <v>81</v>
      </c>
      <c r="F996" s="15">
        <v>0.8</v>
      </c>
      <c r="G996" s="15">
        <v>0</v>
      </c>
      <c r="H996" s="15">
        <v>1.4</v>
      </c>
      <c r="I996" s="15">
        <f t="shared" si="63"/>
        <v>0.8</v>
      </c>
      <c r="O996" s="18">
        <v>21</v>
      </c>
      <c r="Q996" s="66" t="s">
        <v>33</v>
      </c>
      <c r="R996" s="20" t="str">
        <f t="shared" si="60"/>
        <v>horizontal</v>
      </c>
      <c r="S996" s="19">
        <v>0</v>
      </c>
      <c r="T996" s="19">
        <v>0</v>
      </c>
      <c r="U996" s="19">
        <v>0</v>
      </c>
      <c r="V996" s="20">
        <v>0</v>
      </c>
      <c r="W996" s="20">
        <v>-1</v>
      </c>
      <c r="Z996" s="15">
        <v>101</v>
      </c>
      <c r="AD996" s="1">
        <v>1.7656557501135399</v>
      </c>
      <c r="AE996" s="37" t="s">
        <v>110</v>
      </c>
      <c r="AF996" s="22"/>
    </row>
    <row r="997" spans="1:32" x14ac:dyDescent="0.2">
      <c r="A997" s="1">
        <v>1179</v>
      </c>
      <c r="D997" s="1" t="s">
        <v>4</v>
      </c>
      <c r="E997" s="3" t="s">
        <v>81</v>
      </c>
      <c r="F997" s="15">
        <v>0.8</v>
      </c>
      <c r="G997" s="15">
        <v>0</v>
      </c>
      <c r="H997" s="15">
        <v>1.4</v>
      </c>
      <c r="I997" s="15">
        <f t="shared" ref="I997:I1004" si="64">F997</f>
        <v>0.8</v>
      </c>
      <c r="O997" s="18">
        <v>21</v>
      </c>
      <c r="Q997" s="65" t="s">
        <v>2</v>
      </c>
      <c r="R997" s="20" t="str">
        <f t="shared" si="60"/>
        <v>horizontal</v>
      </c>
      <c r="S997" s="19">
        <v>0.19731543624160999</v>
      </c>
      <c r="T997" s="19">
        <v>0</v>
      </c>
      <c r="U997" s="19">
        <v>0</v>
      </c>
      <c r="V997" s="20">
        <v>0</v>
      </c>
      <c r="W997" s="20">
        <v>-1</v>
      </c>
      <c r="Z997" s="15">
        <v>101</v>
      </c>
      <c r="AD997" s="1">
        <v>2.8534086895090001</v>
      </c>
      <c r="AE997" s="37" t="s">
        <v>110</v>
      </c>
      <c r="AF997" s="22"/>
    </row>
    <row r="998" spans="1:32" x14ac:dyDescent="0.2">
      <c r="A998" s="1">
        <v>1180</v>
      </c>
      <c r="D998" s="1" t="s">
        <v>4</v>
      </c>
      <c r="E998" s="3" t="s">
        <v>81</v>
      </c>
      <c r="F998" s="15">
        <v>0.8</v>
      </c>
      <c r="G998" s="15">
        <v>0</v>
      </c>
      <c r="H998" s="15">
        <v>1.4</v>
      </c>
      <c r="I998" s="15">
        <f t="shared" si="64"/>
        <v>0.8</v>
      </c>
      <c r="O998" s="18">
        <v>21</v>
      </c>
      <c r="Q998" s="66" t="s">
        <v>2</v>
      </c>
      <c r="R998" s="20" t="str">
        <f t="shared" si="60"/>
        <v>horizontal</v>
      </c>
      <c r="S998" s="19">
        <v>0.42684563758389199</v>
      </c>
      <c r="T998" s="19">
        <v>0</v>
      </c>
      <c r="U998" s="19">
        <v>0</v>
      </c>
      <c r="V998" s="20">
        <v>0</v>
      </c>
      <c r="W998" s="20">
        <v>-1</v>
      </c>
      <c r="Z998" s="15">
        <v>101</v>
      </c>
      <c r="AD998" s="1">
        <v>3.6024120704445601</v>
      </c>
      <c r="AE998" s="37" t="s">
        <v>110</v>
      </c>
      <c r="AF998" s="22"/>
    </row>
    <row r="999" spans="1:32" x14ac:dyDescent="0.2">
      <c r="A999" s="1">
        <v>1181</v>
      </c>
      <c r="D999" s="1" t="s">
        <v>4</v>
      </c>
      <c r="E999" s="3" t="s">
        <v>81</v>
      </c>
      <c r="F999" s="15">
        <v>0.8</v>
      </c>
      <c r="G999" s="15">
        <v>0</v>
      </c>
      <c r="H999" s="15">
        <v>1.4</v>
      </c>
      <c r="I999" s="15">
        <f t="shared" si="64"/>
        <v>0.8</v>
      </c>
      <c r="O999" s="18">
        <v>21</v>
      </c>
      <c r="Q999" s="66" t="s">
        <v>2</v>
      </c>
      <c r="R999" s="20" t="str">
        <f t="shared" si="60"/>
        <v>horizontal</v>
      </c>
      <c r="S999" s="19">
        <v>0.66040268456375795</v>
      </c>
      <c r="T999" s="19">
        <v>0</v>
      </c>
      <c r="U999" s="19">
        <v>0</v>
      </c>
      <c r="V999" s="20">
        <v>0</v>
      </c>
      <c r="W999" s="20">
        <v>-1</v>
      </c>
      <c r="Z999" s="15">
        <v>101</v>
      </c>
      <c r="AD999" s="1">
        <v>4.7648988242418104</v>
      </c>
      <c r="AE999" s="37" t="s">
        <v>110</v>
      </c>
      <c r="AF999" s="22"/>
    </row>
    <row r="1000" spans="1:32" x14ac:dyDescent="0.2">
      <c r="A1000" s="1">
        <v>1182</v>
      </c>
      <c r="D1000" s="1" t="s">
        <v>4</v>
      </c>
      <c r="E1000" s="3" t="s">
        <v>81</v>
      </c>
      <c r="F1000" s="15">
        <v>0.8</v>
      </c>
      <c r="G1000" s="15">
        <v>0</v>
      </c>
      <c r="H1000" s="15">
        <v>1.4</v>
      </c>
      <c r="I1000" s="15">
        <f t="shared" si="64"/>
        <v>0.8</v>
      </c>
      <c r="O1000" s="18">
        <v>21</v>
      </c>
      <c r="Q1000" s="66" t="s">
        <v>2</v>
      </c>
      <c r="R1000" s="20" t="str">
        <f t="shared" si="60"/>
        <v>horizontal</v>
      </c>
      <c r="S1000" s="19">
        <v>0.96241610738255001</v>
      </c>
      <c r="T1000" s="19">
        <v>0</v>
      </c>
      <c r="U1000" s="19">
        <v>0</v>
      </c>
      <c r="V1000" s="20">
        <v>0</v>
      </c>
      <c r="W1000" s="20">
        <v>-1</v>
      </c>
      <c r="Z1000" s="15">
        <v>101</v>
      </c>
      <c r="AD1000" s="1">
        <v>5.8513397587929497</v>
      </c>
      <c r="AE1000" s="37" t="s">
        <v>110</v>
      </c>
      <c r="AF1000" s="22"/>
    </row>
    <row r="1001" spans="1:32" x14ac:dyDescent="0.2">
      <c r="A1001" s="1">
        <v>1183</v>
      </c>
      <c r="D1001" s="1" t="s">
        <v>4</v>
      </c>
      <c r="E1001" s="3" t="s">
        <v>81</v>
      </c>
      <c r="F1001" s="15">
        <v>0.8</v>
      </c>
      <c r="G1001" s="15">
        <v>0</v>
      </c>
      <c r="H1001" s="15">
        <v>1.4</v>
      </c>
      <c r="I1001" s="15">
        <f t="shared" si="64"/>
        <v>0.8</v>
      </c>
      <c r="O1001" s="18">
        <v>21</v>
      </c>
      <c r="Q1001" s="66" t="s">
        <v>2</v>
      </c>
      <c r="R1001" s="20" t="str">
        <f t="shared" si="60"/>
        <v>horizontal</v>
      </c>
      <c r="S1001" s="19">
        <v>1.2362416107382499</v>
      </c>
      <c r="T1001" s="19">
        <v>0</v>
      </c>
      <c r="U1001" s="19">
        <v>0</v>
      </c>
      <c r="V1001" s="20">
        <v>0</v>
      </c>
      <c r="W1001" s="20">
        <v>-1</v>
      </c>
      <c r="Z1001" s="15">
        <v>101</v>
      </c>
      <c r="AD1001" s="1">
        <v>6.8253519705303498</v>
      </c>
      <c r="AE1001" s="37" t="s">
        <v>110</v>
      </c>
      <c r="AF1001" s="22"/>
    </row>
    <row r="1002" spans="1:32" x14ac:dyDescent="0.2">
      <c r="A1002" s="1">
        <v>1184</v>
      </c>
      <c r="D1002" s="1" t="s">
        <v>4</v>
      </c>
      <c r="E1002" s="3" t="s">
        <v>81</v>
      </c>
      <c r="F1002" s="15">
        <v>0.8</v>
      </c>
      <c r="G1002" s="15">
        <v>0</v>
      </c>
      <c r="H1002" s="15">
        <v>1.4</v>
      </c>
      <c r="I1002" s="15">
        <f t="shared" si="64"/>
        <v>0.8</v>
      </c>
      <c r="O1002" s="18">
        <v>21</v>
      </c>
      <c r="Q1002" s="66" t="s">
        <v>2</v>
      </c>
      <c r="R1002" s="20" t="str">
        <f t="shared" si="60"/>
        <v>horizontal</v>
      </c>
      <c r="S1002" s="19">
        <v>1.5543624161073799</v>
      </c>
      <c r="T1002" s="19">
        <v>0</v>
      </c>
      <c r="U1002" s="19">
        <v>0</v>
      </c>
      <c r="V1002" s="20">
        <v>0</v>
      </c>
      <c r="W1002" s="20">
        <v>-1</v>
      </c>
      <c r="Z1002" s="15">
        <v>101</v>
      </c>
      <c r="AD1002" s="1">
        <v>7.3100872987838699</v>
      </c>
      <c r="AE1002" s="37" t="s">
        <v>110</v>
      </c>
      <c r="AF1002" s="22"/>
    </row>
    <row r="1003" spans="1:32" s="5" customFormat="1" ht="16" thickBot="1" x14ac:dyDescent="0.25">
      <c r="A1003" s="1">
        <v>1185</v>
      </c>
      <c r="B1003" s="24"/>
      <c r="D1003" s="5" t="s">
        <v>4</v>
      </c>
      <c r="E1003" s="63" t="s">
        <v>81</v>
      </c>
      <c r="F1003" s="25">
        <v>0.8</v>
      </c>
      <c r="G1003" s="25">
        <v>0</v>
      </c>
      <c r="H1003" s="25">
        <v>1.4</v>
      </c>
      <c r="I1003" s="25">
        <f t="shared" si="64"/>
        <v>0.8</v>
      </c>
      <c r="J1003" s="26"/>
      <c r="K1003" s="26"/>
      <c r="L1003" s="26"/>
      <c r="M1003" s="27"/>
      <c r="N1003" s="28"/>
      <c r="O1003" s="28">
        <v>21</v>
      </c>
      <c r="P1003" s="29"/>
      <c r="Q1003" s="66" t="s">
        <v>2</v>
      </c>
      <c r="R1003" s="20" t="str">
        <f t="shared" si="60"/>
        <v>horizontal</v>
      </c>
      <c r="S1003" s="30">
        <v>1.85637583892617</v>
      </c>
      <c r="T1003" s="30">
        <v>0</v>
      </c>
      <c r="U1003" s="30">
        <v>0</v>
      </c>
      <c r="V1003" s="31">
        <v>0</v>
      </c>
      <c r="W1003" s="31">
        <v>-1</v>
      </c>
      <c r="Y1003" s="28"/>
      <c r="Z1003" s="25">
        <v>101</v>
      </c>
      <c r="AA1003" s="26"/>
      <c r="AB1003" s="26"/>
      <c r="AC1003" s="26"/>
      <c r="AD1003" s="5">
        <v>6.7799868799515499</v>
      </c>
      <c r="AE1003" s="64" t="s">
        <v>110</v>
      </c>
      <c r="AF1003" s="22"/>
    </row>
    <row r="1004" spans="1:32" s="3" customFormat="1" x14ac:dyDescent="0.2">
      <c r="A1004" s="1">
        <v>1186</v>
      </c>
      <c r="B1004" s="47"/>
      <c r="D1004" s="3" t="s">
        <v>4</v>
      </c>
      <c r="E1004" s="3" t="s">
        <v>25</v>
      </c>
      <c r="F1004" s="34">
        <v>0.3</v>
      </c>
      <c r="G1004" s="34">
        <v>0</v>
      </c>
      <c r="H1004" s="34">
        <v>0.6</v>
      </c>
      <c r="I1004" s="34">
        <f t="shared" si="64"/>
        <v>0.3</v>
      </c>
      <c r="J1004" s="48"/>
      <c r="K1004" s="48"/>
      <c r="L1004" s="48"/>
      <c r="M1004" s="49"/>
      <c r="N1004" s="50"/>
      <c r="O1004" s="50">
        <v>21</v>
      </c>
      <c r="P1004" s="51"/>
      <c r="Q1004" s="65" t="s">
        <v>2</v>
      </c>
      <c r="R1004" s="20" t="s">
        <v>139</v>
      </c>
      <c r="S1004" s="35">
        <v>0</v>
      </c>
      <c r="T1004" s="35">
        <v>0</v>
      </c>
      <c r="U1004" s="35">
        <v>6.1068702290077298E-3</v>
      </c>
      <c r="V1004" s="36">
        <v>0</v>
      </c>
      <c r="W1004" s="36">
        <v>-1</v>
      </c>
      <c r="Y1004" s="50"/>
      <c r="Z1004" s="34">
        <v>101</v>
      </c>
      <c r="AA1004" s="48"/>
      <c r="AB1004" s="48"/>
      <c r="AC1004" s="48"/>
      <c r="AD1004" s="3">
        <v>3.6522842639593902</v>
      </c>
      <c r="AE1004" s="37" t="s">
        <v>93</v>
      </c>
      <c r="AF1004" s="22"/>
    </row>
    <row r="1005" spans="1:32" x14ac:dyDescent="0.2">
      <c r="A1005" s="1">
        <v>1187</v>
      </c>
      <c r="D1005" s="1" t="s">
        <v>4</v>
      </c>
      <c r="E1005" s="1" t="s">
        <v>25</v>
      </c>
      <c r="F1005" s="15">
        <v>0.3</v>
      </c>
      <c r="G1005" s="15">
        <v>0</v>
      </c>
      <c r="H1005" s="15">
        <v>0.6</v>
      </c>
      <c r="I1005" s="15">
        <f t="shared" ref="I1005:I1012" si="65">F1005</f>
        <v>0.3</v>
      </c>
      <c r="O1005" s="18">
        <v>21</v>
      </c>
      <c r="Q1005" s="66" t="s">
        <v>2</v>
      </c>
      <c r="R1005" s="20" t="str">
        <f t="shared" si="60"/>
        <v>horizontal</v>
      </c>
      <c r="S1005" s="35">
        <v>0</v>
      </c>
      <c r="T1005" s="19">
        <v>0</v>
      </c>
      <c r="U1005" s="19">
        <v>0.40305343511450298</v>
      </c>
      <c r="V1005" s="20">
        <v>0</v>
      </c>
      <c r="W1005" s="20">
        <v>-1</v>
      </c>
      <c r="Z1005" s="15">
        <v>101</v>
      </c>
      <c r="AD1005" s="1">
        <v>3.88578680203045</v>
      </c>
      <c r="AE1005" s="22" t="s">
        <v>93</v>
      </c>
      <c r="AF1005" s="22"/>
    </row>
    <row r="1006" spans="1:32" x14ac:dyDescent="0.2">
      <c r="A1006" s="1">
        <v>1188</v>
      </c>
      <c r="D1006" s="1" t="s">
        <v>4</v>
      </c>
      <c r="E1006" s="1" t="s">
        <v>25</v>
      </c>
      <c r="F1006" s="15">
        <v>0.3</v>
      </c>
      <c r="G1006" s="15">
        <v>0</v>
      </c>
      <c r="H1006" s="15">
        <v>0.6</v>
      </c>
      <c r="I1006" s="15">
        <f t="shared" si="65"/>
        <v>0.3</v>
      </c>
      <c r="O1006" s="18">
        <v>21</v>
      </c>
      <c r="Q1006" s="66" t="s">
        <v>2</v>
      </c>
      <c r="R1006" s="20" t="str">
        <f t="shared" si="60"/>
        <v>horizontal</v>
      </c>
      <c r="S1006" s="35">
        <v>0</v>
      </c>
      <c r="T1006" s="19">
        <v>0</v>
      </c>
      <c r="U1006" s="19">
        <v>0.8</v>
      </c>
      <c r="V1006" s="20">
        <v>0</v>
      </c>
      <c r="W1006" s="20">
        <v>-1</v>
      </c>
      <c r="Z1006" s="15">
        <v>101</v>
      </c>
      <c r="AD1006" s="1">
        <v>3.9416243654822298</v>
      </c>
      <c r="AE1006" s="22" t="s">
        <v>93</v>
      </c>
      <c r="AF1006" s="22"/>
    </row>
    <row r="1007" spans="1:32" x14ac:dyDescent="0.2">
      <c r="A1007" s="1">
        <v>1189</v>
      </c>
      <c r="D1007" s="1" t="s">
        <v>4</v>
      </c>
      <c r="E1007" s="1" t="s">
        <v>25</v>
      </c>
      <c r="F1007" s="15">
        <v>0.3</v>
      </c>
      <c r="G1007" s="15">
        <v>0</v>
      </c>
      <c r="H1007" s="15">
        <v>0.6</v>
      </c>
      <c r="I1007" s="15">
        <f t="shared" si="65"/>
        <v>0.3</v>
      </c>
      <c r="O1007" s="18">
        <v>21</v>
      </c>
      <c r="Q1007" s="66" t="s">
        <v>2</v>
      </c>
      <c r="R1007" s="20" t="str">
        <f t="shared" si="60"/>
        <v>horizontal</v>
      </c>
      <c r="S1007" s="35">
        <v>0</v>
      </c>
      <c r="T1007" s="19">
        <v>0</v>
      </c>
      <c r="U1007" s="19">
        <v>1.2030534351145001</v>
      </c>
      <c r="V1007" s="20">
        <v>0</v>
      </c>
      <c r="W1007" s="20">
        <v>-1</v>
      </c>
      <c r="Z1007" s="15">
        <v>101</v>
      </c>
      <c r="AD1007" s="1">
        <v>3.8553299492385702</v>
      </c>
      <c r="AE1007" s="22" t="s">
        <v>93</v>
      </c>
      <c r="AF1007" s="22"/>
    </row>
    <row r="1008" spans="1:32" x14ac:dyDescent="0.2">
      <c r="A1008" s="1">
        <v>1190</v>
      </c>
      <c r="D1008" s="1" t="s">
        <v>4</v>
      </c>
      <c r="E1008" s="1" t="s">
        <v>25</v>
      </c>
      <c r="F1008" s="15">
        <v>0.3</v>
      </c>
      <c r="G1008" s="15">
        <v>0</v>
      </c>
      <c r="H1008" s="15">
        <v>0.6</v>
      </c>
      <c r="I1008" s="15">
        <f t="shared" si="65"/>
        <v>0.3</v>
      </c>
      <c r="O1008" s="18">
        <v>21</v>
      </c>
      <c r="Q1008" s="66" t="s">
        <v>2</v>
      </c>
      <c r="R1008" s="20" t="str">
        <f t="shared" si="60"/>
        <v>horizontal</v>
      </c>
      <c r="S1008" s="35">
        <v>0</v>
      </c>
      <c r="T1008" s="19">
        <v>0</v>
      </c>
      <c r="U1008" s="19">
        <v>1.5999999999999901</v>
      </c>
      <c r="V1008" s="20">
        <v>0</v>
      </c>
      <c r="W1008" s="20">
        <v>-1</v>
      </c>
      <c r="Z1008" s="15">
        <v>101</v>
      </c>
      <c r="AD1008" s="1">
        <v>3.7385786802030401</v>
      </c>
      <c r="AE1008" s="22" t="s">
        <v>93</v>
      </c>
      <c r="AF1008" s="22"/>
    </row>
    <row r="1009" spans="1:32" x14ac:dyDescent="0.2">
      <c r="A1009" s="1">
        <v>1191</v>
      </c>
      <c r="D1009" s="1" t="s">
        <v>4</v>
      </c>
      <c r="E1009" s="1" t="s">
        <v>25</v>
      </c>
      <c r="F1009" s="15">
        <v>0.3</v>
      </c>
      <c r="G1009" s="15">
        <v>0</v>
      </c>
      <c r="H1009" s="15">
        <v>0.6</v>
      </c>
      <c r="I1009" s="15">
        <f t="shared" si="65"/>
        <v>0.3</v>
      </c>
      <c r="O1009" s="18">
        <v>21</v>
      </c>
      <c r="Q1009" s="66" t="s">
        <v>2</v>
      </c>
      <c r="R1009" s="20" t="str">
        <f t="shared" si="60"/>
        <v>horizontal</v>
      </c>
      <c r="S1009" s="35">
        <v>0</v>
      </c>
      <c r="T1009" s="19">
        <v>0</v>
      </c>
      <c r="U1009" s="19">
        <v>1.99694656488549</v>
      </c>
      <c r="V1009" s="20">
        <v>0</v>
      </c>
      <c r="W1009" s="20">
        <v>-1</v>
      </c>
      <c r="Z1009" s="15">
        <v>101</v>
      </c>
      <c r="AD1009" s="1">
        <v>3.4949238578680202</v>
      </c>
      <c r="AE1009" s="22" t="s">
        <v>93</v>
      </c>
      <c r="AF1009" s="22"/>
    </row>
    <row r="1010" spans="1:32" x14ac:dyDescent="0.2">
      <c r="A1010" s="1">
        <v>1192</v>
      </c>
      <c r="D1010" s="1" t="s">
        <v>4</v>
      </c>
      <c r="E1010" s="1" t="s">
        <v>25</v>
      </c>
      <c r="F1010" s="15">
        <v>0.3</v>
      </c>
      <c r="G1010" s="15">
        <v>0</v>
      </c>
      <c r="H1010" s="15">
        <v>0.6</v>
      </c>
      <c r="I1010" s="15">
        <f t="shared" si="65"/>
        <v>0.3</v>
      </c>
      <c r="O1010" s="18">
        <v>21</v>
      </c>
      <c r="Q1010" s="66" t="s">
        <v>2</v>
      </c>
      <c r="R1010" s="20" t="str">
        <f t="shared" si="60"/>
        <v>horizontal</v>
      </c>
      <c r="S1010" s="35">
        <v>0</v>
      </c>
      <c r="T1010" s="19">
        <v>0</v>
      </c>
      <c r="U1010" s="19">
        <v>2.4</v>
      </c>
      <c r="V1010" s="20">
        <v>0</v>
      </c>
      <c r="W1010" s="20">
        <v>-1</v>
      </c>
      <c r="Z1010" s="15">
        <v>101</v>
      </c>
      <c r="AD1010" s="1">
        <v>3.3426395939086202</v>
      </c>
      <c r="AE1010" s="22" t="s">
        <v>93</v>
      </c>
      <c r="AF1010" s="22"/>
    </row>
    <row r="1011" spans="1:32" x14ac:dyDescent="0.2">
      <c r="A1011" s="1">
        <v>1193</v>
      </c>
      <c r="D1011" s="1" t="s">
        <v>4</v>
      </c>
      <c r="E1011" s="1" t="s">
        <v>25</v>
      </c>
      <c r="F1011" s="15">
        <v>0.3</v>
      </c>
      <c r="G1011" s="15">
        <v>0</v>
      </c>
      <c r="H1011" s="15">
        <v>0.6</v>
      </c>
      <c r="I1011" s="15">
        <f t="shared" si="65"/>
        <v>0.3</v>
      </c>
      <c r="O1011" s="18">
        <v>21</v>
      </c>
      <c r="Q1011" s="65" t="s">
        <v>2</v>
      </c>
      <c r="R1011" s="20" t="str">
        <f t="shared" si="60"/>
        <v>horizontal</v>
      </c>
      <c r="S1011" s="35">
        <v>0</v>
      </c>
      <c r="T1011" s="19">
        <v>0</v>
      </c>
      <c r="U1011" s="19">
        <v>2.7969465648854901</v>
      </c>
      <c r="V1011" s="20">
        <v>0</v>
      </c>
      <c r="W1011" s="20">
        <v>-1</v>
      </c>
      <c r="Z1011" s="15">
        <v>101</v>
      </c>
      <c r="AD1011" s="1">
        <v>3.2461928934010098</v>
      </c>
      <c r="AE1011" s="22" t="s">
        <v>93</v>
      </c>
      <c r="AF1011" s="22"/>
    </row>
    <row r="1012" spans="1:32" x14ac:dyDescent="0.2">
      <c r="A1012" s="1">
        <v>1194</v>
      </c>
      <c r="D1012" s="1" t="s">
        <v>4</v>
      </c>
      <c r="E1012" s="1" t="s">
        <v>25</v>
      </c>
      <c r="F1012" s="15">
        <v>0.5</v>
      </c>
      <c r="G1012" s="15">
        <v>0</v>
      </c>
      <c r="H1012" s="15">
        <v>0.8</v>
      </c>
      <c r="I1012" s="15">
        <f t="shared" si="65"/>
        <v>0.5</v>
      </c>
      <c r="O1012" s="18">
        <v>21</v>
      </c>
      <c r="Q1012" s="66" t="s">
        <v>2</v>
      </c>
      <c r="R1012" s="20" t="str">
        <f t="shared" si="60"/>
        <v>horizontal</v>
      </c>
      <c r="S1012" s="35">
        <v>0</v>
      </c>
      <c r="T1012" s="19">
        <v>0</v>
      </c>
      <c r="U1012" s="19">
        <v>6.1068702290077298E-3</v>
      </c>
      <c r="V1012" s="20">
        <v>0</v>
      </c>
      <c r="W1012" s="20">
        <v>-1</v>
      </c>
      <c r="Z1012" s="15">
        <v>101</v>
      </c>
      <c r="AD1012" s="1">
        <v>2.7944162436548199</v>
      </c>
      <c r="AE1012" s="22" t="s">
        <v>93</v>
      </c>
      <c r="AF1012" s="22"/>
    </row>
    <row r="1013" spans="1:32" x14ac:dyDescent="0.2">
      <c r="A1013" s="1">
        <v>1195</v>
      </c>
      <c r="D1013" s="1" t="s">
        <v>4</v>
      </c>
      <c r="E1013" s="1" t="s">
        <v>25</v>
      </c>
      <c r="F1013" s="15">
        <v>0.5</v>
      </c>
      <c r="G1013" s="15">
        <v>0</v>
      </c>
      <c r="H1013" s="15">
        <v>0.8</v>
      </c>
      <c r="I1013" s="15">
        <f t="shared" ref="I1013:I1021" si="66">F1013</f>
        <v>0.5</v>
      </c>
      <c r="O1013" s="18">
        <v>21</v>
      </c>
      <c r="Q1013" s="66" t="s">
        <v>2</v>
      </c>
      <c r="R1013" s="20" t="str">
        <f t="shared" si="60"/>
        <v>horizontal</v>
      </c>
      <c r="S1013" s="35">
        <v>0</v>
      </c>
      <c r="T1013" s="19">
        <v>0</v>
      </c>
      <c r="U1013" s="19">
        <v>0.20152671755725099</v>
      </c>
      <c r="V1013" s="20">
        <v>0</v>
      </c>
      <c r="W1013" s="20">
        <v>-1</v>
      </c>
      <c r="Z1013" s="15">
        <v>101</v>
      </c>
      <c r="AD1013" s="1">
        <v>2.9670050761421298</v>
      </c>
      <c r="AE1013" s="22" t="s">
        <v>93</v>
      </c>
      <c r="AF1013" s="22"/>
    </row>
    <row r="1014" spans="1:32" x14ac:dyDescent="0.2">
      <c r="A1014" s="1">
        <v>1196</v>
      </c>
      <c r="D1014" s="1" t="s">
        <v>4</v>
      </c>
      <c r="E1014" s="1" t="s">
        <v>25</v>
      </c>
      <c r="F1014" s="15">
        <v>0.5</v>
      </c>
      <c r="G1014" s="15">
        <v>0</v>
      </c>
      <c r="H1014" s="15">
        <v>0.8</v>
      </c>
      <c r="I1014" s="15">
        <f t="shared" si="66"/>
        <v>0.5</v>
      </c>
      <c r="O1014" s="18">
        <v>21</v>
      </c>
      <c r="Q1014" s="66" t="s">
        <v>2</v>
      </c>
      <c r="R1014" s="20" t="str">
        <f t="shared" si="60"/>
        <v>horizontal</v>
      </c>
      <c r="S1014" s="35">
        <v>0</v>
      </c>
      <c r="T1014" s="19">
        <v>0</v>
      </c>
      <c r="U1014" s="19">
        <v>0.40305343511450298</v>
      </c>
      <c r="V1014" s="20">
        <v>0</v>
      </c>
      <c r="W1014" s="20">
        <v>-1</v>
      </c>
      <c r="Z1014" s="15">
        <v>101</v>
      </c>
      <c r="AD1014" s="1">
        <v>3.00761421319796</v>
      </c>
      <c r="AE1014" s="22" t="s">
        <v>93</v>
      </c>
      <c r="AF1014" s="22"/>
    </row>
    <row r="1015" spans="1:32" x14ac:dyDescent="0.2">
      <c r="A1015" s="1">
        <v>1197</v>
      </c>
      <c r="D1015" s="1" t="s">
        <v>4</v>
      </c>
      <c r="E1015" s="1" t="s">
        <v>25</v>
      </c>
      <c r="F1015" s="15">
        <v>0.5</v>
      </c>
      <c r="G1015" s="15">
        <v>0</v>
      </c>
      <c r="H1015" s="15">
        <v>0.8</v>
      </c>
      <c r="I1015" s="15">
        <f t="shared" si="66"/>
        <v>0.5</v>
      </c>
      <c r="O1015" s="18">
        <v>21</v>
      </c>
      <c r="Q1015" s="66" t="s">
        <v>2</v>
      </c>
      <c r="R1015" s="20" t="str">
        <f t="shared" si="60"/>
        <v>horizontal</v>
      </c>
      <c r="S1015" s="35">
        <v>0</v>
      </c>
      <c r="T1015" s="19">
        <v>0</v>
      </c>
      <c r="U1015" s="19">
        <v>0.598473282442748</v>
      </c>
      <c r="V1015" s="20">
        <v>0</v>
      </c>
      <c r="W1015" s="20">
        <v>-1</v>
      </c>
      <c r="Z1015" s="15">
        <v>101</v>
      </c>
      <c r="AD1015" s="1">
        <v>3.1294416243654801</v>
      </c>
      <c r="AE1015" s="22" t="s">
        <v>93</v>
      </c>
      <c r="AF1015" s="22"/>
    </row>
    <row r="1016" spans="1:32" x14ac:dyDescent="0.2">
      <c r="A1016" s="1">
        <v>1198</v>
      </c>
      <c r="D1016" s="1" t="s">
        <v>4</v>
      </c>
      <c r="E1016" s="1" t="s">
        <v>25</v>
      </c>
      <c r="F1016" s="15">
        <v>0.5</v>
      </c>
      <c r="G1016" s="15">
        <v>0</v>
      </c>
      <c r="H1016" s="15">
        <v>0.8</v>
      </c>
      <c r="I1016" s="15">
        <f t="shared" si="66"/>
        <v>0.5</v>
      </c>
      <c r="O1016" s="18">
        <v>21</v>
      </c>
      <c r="Q1016" s="66" t="s">
        <v>2</v>
      </c>
      <c r="R1016" s="20" t="str">
        <f t="shared" si="60"/>
        <v>horizontal</v>
      </c>
      <c r="S1016" s="35">
        <v>0</v>
      </c>
      <c r="T1016" s="19">
        <v>0</v>
      </c>
      <c r="U1016" s="19">
        <v>0.8</v>
      </c>
      <c r="V1016" s="20">
        <v>0</v>
      </c>
      <c r="W1016" s="20">
        <v>-1</v>
      </c>
      <c r="Z1016" s="15">
        <v>101</v>
      </c>
      <c r="AD1016" s="1">
        <v>3.0736040609136999</v>
      </c>
      <c r="AE1016" s="22" t="s">
        <v>93</v>
      </c>
      <c r="AF1016" s="22"/>
    </row>
    <row r="1017" spans="1:32" x14ac:dyDescent="0.2">
      <c r="A1017" s="1">
        <v>1199</v>
      </c>
      <c r="D1017" s="1" t="s">
        <v>4</v>
      </c>
      <c r="E1017" s="1" t="s">
        <v>25</v>
      </c>
      <c r="F1017" s="15">
        <v>0.5</v>
      </c>
      <c r="G1017" s="15">
        <v>0</v>
      </c>
      <c r="H1017" s="15">
        <v>0.8</v>
      </c>
      <c r="I1017" s="15">
        <f t="shared" si="66"/>
        <v>0.5</v>
      </c>
      <c r="O1017" s="18">
        <v>21</v>
      </c>
      <c r="Q1017" s="66" t="s">
        <v>2</v>
      </c>
      <c r="R1017" s="20" t="str">
        <f t="shared" si="60"/>
        <v>horizontal</v>
      </c>
      <c r="S1017" s="35">
        <v>0</v>
      </c>
      <c r="T1017" s="19">
        <v>0</v>
      </c>
      <c r="U1017" s="19">
        <v>1.00152671755725</v>
      </c>
      <c r="V1017" s="20">
        <v>0</v>
      </c>
      <c r="W1017" s="20">
        <v>-1</v>
      </c>
      <c r="Z1017" s="15">
        <v>101</v>
      </c>
      <c r="AD1017" s="1">
        <v>3.0228426395938999</v>
      </c>
      <c r="AE1017" s="22" t="s">
        <v>93</v>
      </c>
      <c r="AF1017" s="22"/>
    </row>
    <row r="1018" spans="1:32" x14ac:dyDescent="0.2">
      <c r="A1018" s="1">
        <v>1200</v>
      </c>
      <c r="D1018" s="1" t="s">
        <v>4</v>
      </c>
      <c r="E1018" s="1" t="s">
        <v>25</v>
      </c>
      <c r="F1018" s="15">
        <v>0.5</v>
      </c>
      <c r="G1018" s="15">
        <v>0</v>
      </c>
      <c r="H1018" s="15">
        <v>0.8</v>
      </c>
      <c r="I1018" s="15">
        <f t="shared" si="66"/>
        <v>0.5</v>
      </c>
      <c r="O1018" s="18">
        <v>21</v>
      </c>
      <c r="Q1018" s="65" t="s">
        <v>2</v>
      </c>
      <c r="R1018" s="20" t="str">
        <f t="shared" si="60"/>
        <v>horizontal</v>
      </c>
      <c r="S1018" s="35">
        <v>0</v>
      </c>
      <c r="T1018" s="19">
        <v>0</v>
      </c>
      <c r="U1018" s="19">
        <v>1.2030534351145001</v>
      </c>
      <c r="V1018" s="20">
        <v>0</v>
      </c>
      <c r="W1018" s="20">
        <v>-1</v>
      </c>
      <c r="Z1018" s="15">
        <v>101</v>
      </c>
      <c r="AD1018" s="1">
        <v>3.0279187817258801</v>
      </c>
      <c r="AE1018" s="22" t="s">
        <v>93</v>
      </c>
      <c r="AF1018" s="22"/>
    </row>
    <row r="1019" spans="1:32" x14ac:dyDescent="0.2">
      <c r="A1019" s="1">
        <v>1201</v>
      </c>
      <c r="D1019" s="1" t="s">
        <v>4</v>
      </c>
      <c r="E1019" s="1" t="s">
        <v>25</v>
      </c>
      <c r="F1019" s="15">
        <v>0.5</v>
      </c>
      <c r="G1019" s="15">
        <v>0</v>
      </c>
      <c r="H1019" s="15">
        <v>0.8</v>
      </c>
      <c r="I1019" s="15">
        <f t="shared" si="66"/>
        <v>0.5</v>
      </c>
      <c r="O1019" s="18">
        <v>21</v>
      </c>
      <c r="Q1019" s="66" t="s">
        <v>2</v>
      </c>
      <c r="R1019" s="20" t="str">
        <f t="shared" si="60"/>
        <v>horizontal</v>
      </c>
      <c r="S1019" s="35">
        <v>0</v>
      </c>
      <c r="T1019" s="19">
        <v>0</v>
      </c>
      <c r="U1019" s="19">
        <v>1.5999999999999901</v>
      </c>
      <c r="V1019" s="20">
        <v>0</v>
      </c>
      <c r="W1019" s="20">
        <v>-1</v>
      </c>
      <c r="Z1019" s="15">
        <v>101</v>
      </c>
      <c r="AD1019" s="1">
        <v>3.0126903553299398</v>
      </c>
      <c r="AE1019" s="22" t="s">
        <v>93</v>
      </c>
      <c r="AF1019" s="22"/>
    </row>
    <row r="1020" spans="1:32" x14ac:dyDescent="0.2">
      <c r="A1020" s="1">
        <v>1202</v>
      </c>
      <c r="D1020" s="1" t="s">
        <v>4</v>
      </c>
      <c r="E1020" s="1" t="s">
        <v>25</v>
      </c>
      <c r="F1020" s="15">
        <v>0.5</v>
      </c>
      <c r="G1020" s="15">
        <v>0</v>
      </c>
      <c r="H1020" s="15">
        <v>0.8</v>
      </c>
      <c r="I1020" s="15">
        <f t="shared" si="66"/>
        <v>0.5</v>
      </c>
      <c r="O1020" s="18">
        <v>21</v>
      </c>
      <c r="Q1020" s="66" t="s">
        <v>2</v>
      </c>
      <c r="R1020" s="20" t="str">
        <f t="shared" si="60"/>
        <v>horizontal</v>
      </c>
      <c r="S1020" s="35">
        <v>0</v>
      </c>
      <c r="T1020" s="19">
        <v>0</v>
      </c>
      <c r="U1020" s="19">
        <v>2.0030534351145</v>
      </c>
      <c r="V1020" s="20">
        <v>0</v>
      </c>
      <c r="W1020" s="20">
        <v>-1</v>
      </c>
      <c r="Z1020" s="15">
        <v>101</v>
      </c>
      <c r="AD1020" s="1">
        <v>2.7131979695431401</v>
      </c>
      <c r="AE1020" s="22" t="s">
        <v>93</v>
      </c>
      <c r="AF1020" s="22"/>
    </row>
    <row r="1021" spans="1:32" x14ac:dyDescent="0.2">
      <c r="A1021" s="1">
        <v>1203</v>
      </c>
      <c r="D1021" s="1" t="s">
        <v>4</v>
      </c>
      <c r="E1021" s="1" t="s">
        <v>25</v>
      </c>
      <c r="F1021" s="15">
        <v>0.5</v>
      </c>
      <c r="G1021" s="15">
        <v>0</v>
      </c>
      <c r="H1021" s="15">
        <v>0.9</v>
      </c>
      <c r="I1021" s="15">
        <f t="shared" si="66"/>
        <v>0.5</v>
      </c>
      <c r="O1021" s="18">
        <v>21</v>
      </c>
      <c r="Q1021" s="66" t="s">
        <v>2</v>
      </c>
      <c r="R1021" s="20" t="str">
        <f t="shared" si="60"/>
        <v>horizontal</v>
      </c>
      <c r="S1021" s="35">
        <v>0</v>
      </c>
      <c r="T1021" s="19">
        <v>0</v>
      </c>
      <c r="U1021" s="19">
        <v>6.1068702290077298E-3</v>
      </c>
      <c r="V1021" s="20">
        <v>0</v>
      </c>
      <c r="W1021" s="20">
        <v>-1</v>
      </c>
      <c r="Z1021" s="15">
        <v>101</v>
      </c>
      <c r="AD1021" s="1">
        <v>2.3477157360406</v>
      </c>
      <c r="AE1021" s="22" t="s">
        <v>93</v>
      </c>
      <c r="AF1021" s="22"/>
    </row>
    <row r="1022" spans="1:32" x14ac:dyDescent="0.2">
      <c r="A1022" s="1">
        <v>1204</v>
      </c>
      <c r="D1022" s="1" t="s">
        <v>4</v>
      </c>
      <c r="E1022" s="1" t="s">
        <v>25</v>
      </c>
      <c r="F1022" s="15">
        <v>0.5</v>
      </c>
      <c r="G1022" s="15">
        <v>0</v>
      </c>
      <c r="H1022" s="15">
        <v>0.9</v>
      </c>
      <c r="I1022" s="15">
        <f t="shared" ref="I1022:I1029" si="67">F1022</f>
        <v>0.5</v>
      </c>
      <c r="O1022" s="18">
        <v>21</v>
      </c>
      <c r="Q1022" s="66" t="s">
        <v>2</v>
      </c>
      <c r="R1022" s="20" t="str">
        <f t="shared" si="60"/>
        <v>horizontal</v>
      </c>
      <c r="S1022" s="35">
        <v>0</v>
      </c>
      <c r="T1022" s="19">
        <v>0</v>
      </c>
      <c r="U1022" s="19">
        <v>0.299236641221374</v>
      </c>
      <c r="V1022" s="20">
        <v>0</v>
      </c>
      <c r="W1022" s="20">
        <v>-1</v>
      </c>
      <c r="Z1022" s="15">
        <v>101</v>
      </c>
      <c r="AD1022" s="1">
        <v>2.5609137055837499</v>
      </c>
      <c r="AE1022" s="22" t="s">
        <v>93</v>
      </c>
      <c r="AF1022" s="22"/>
    </row>
    <row r="1023" spans="1:32" x14ac:dyDescent="0.2">
      <c r="A1023" s="1">
        <v>1205</v>
      </c>
      <c r="D1023" s="1" t="s">
        <v>4</v>
      </c>
      <c r="E1023" s="1" t="s">
        <v>25</v>
      </c>
      <c r="F1023" s="15">
        <v>0.5</v>
      </c>
      <c r="G1023" s="15">
        <v>0</v>
      </c>
      <c r="H1023" s="15">
        <v>0.9</v>
      </c>
      <c r="I1023" s="15">
        <f t="shared" si="67"/>
        <v>0.5</v>
      </c>
      <c r="O1023" s="18">
        <v>21</v>
      </c>
      <c r="Q1023" s="66" t="s">
        <v>2</v>
      </c>
      <c r="R1023" s="20" t="str">
        <f t="shared" si="60"/>
        <v>horizontal</v>
      </c>
      <c r="S1023" s="35">
        <v>0</v>
      </c>
      <c r="T1023" s="19">
        <v>0</v>
      </c>
      <c r="U1023" s="19">
        <v>0.60458015267175491</v>
      </c>
      <c r="V1023" s="20">
        <v>0</v>
      </c>
      <c r="W1023" s="20">
        <v>-1</v>
      </c>
      <c r="Z1023" s="15">
        <v>101</v>
      </c>
      <c r="AD1023" s="1">
        <v>2.60659898477157</v>
      </c>
      <c r="AE1023" s="22" t="s">
        <v>93</v>
      </c>
      <c r="AF1023" s="22"/>
    </row>
    <row r="1024" spans="1:32" x14ac:dyDescent="0.2">
      <c r="A1024" s="1">
        <v>1206</v>
      </c>
      <c r="D1024" s="1" t="s">
        <v>4</v>
      </c>
      <c r="E1024" s="1" t="s">
        <v>25</v>
      </c>
      <c r="F1024" s="15">
        <v>0.5</v>
      </c>
      <c r="G1024" s="15">
        <v>0</v>
      </c>
      <c r="H1024" s="15">
        <v>0.9</v>
      </c>
      <c r="I1024" s="15">
        <f t="shared" si="67"/>
        <v>0.5</v>
      </c>
      <c r="O1024" s="18">
        <v>21</v>
      </c>
      <c r="Q1024" s="66" t="s">
        <v>2</v>
      </c>
      <c r="R1024" s="20" t="str">
        <f t="shared" si="60"/>
        <v>horizontal</v>
      </c>
      <c r="S1024" s="35">
        <v>0</v>
      </c>
      <c r="T1024" s="19">
        <v>0</v>
      </c>
      <c r="U1024" s="19">
        <v>0.90381679389313008</v>
      </c>
      <c r="V1024" s="20">
        <v>0</v>
      </c>
      <c r="W1024" s="20">
        <v>-1</v>
      </c>
      <c r="Z1024" s="15">
        <v>101</v>
      </c>
      <c r="AD1024" s="1">
        <v>2.5406091370558301</v>
      </c>
      <c r="AE1024" s="22" t="s">
        <v>93</v>
      </c>
      <c r="AF1024" s="22"/>
    </row>
    <row r="1025" spans="1:32" x14ac:dyDescent="0.2">
      <c r="A1025" s="1">
        <v>1207</v>
      </c>
      <c r="D1025" s="1" t="s">
        <v>4</v>
      </c>
      <c r="E1025" s="1" t="s">
        <v>25</v>
      </c>
      <c r="F1025" s="15">
        <v>0.5</v>
      </c>
      <c r="G1025" s="15">
        <v>0</v>
      </c>
      <c r="H1025" s="15">
        <v>0.9</v>
      </c>
      <c r="I1025" s="15">
        <f t="shared" si="67"/>
        <v>0.5</v>
      </c>
      <c r="O1025" s="18">
        <v>21</v>
      </c>
      <c r="Q1025" s="65" t="s">
        <v>2</v>
      </c>
      <c r="R1025" s="20" t="str">
        <f t="shared" si="60"/>
        <v>horizontal</v>
      </c>
      <c r="S1025" s="35">
        <v>0</v>
      </c>
      <c r="T1025" s="19">
        <v>0</v>
      </c>
      <c r="U1025" s="19">
        <v>1.2030534351145001</v>
      </c>
      <c r="V1025" s="20">
        <v>0</v>
      </c>
      <c r="W1025" s="20">
        <v>-1</v>
      </c>
      <c r="Z1025" s="15">
        <v>101</v>
      </c>
      <c r="AD1025" s="1">
        <v>2.4695431472081202</v>
      </c>
      <c r="AE1025" s="22" t="s">
        <v>93</v>
      </c>
      <c r="AF1025" s="22"/>
    </row>
    <row r="1026" spans="1:32" x14ac:dyDescent="0.2">
      <c r="A1026" s="1">
        <v>1208</v>
      </c>
      <c r="D1026" s="1" t="s">
        <v>4</v>
      </c>
      <c r="E1026" s="1" t="s">
        <v>25</v>
      </c>
      <c r="F1026" s="15">
        <v>0.5</v>
      </c>
      <c r="G1026" s="15">
        <v>0</v>
      </c>
      <c r="H1026" s="15">
        <v>0.9</v>
      </c>
      <c r="I1026" s="15">
        <f t="shared" si="67"/>
        <v>0.5</v>
      </c>
      <c r="O1026" s="18">
        <v>21</v>
      </c>
      <c r="Q1026" s="66" t="s">
        <v>2</v>
      </c>
      <c r="R1026" s="20" t="str">
        <f t="shared" si="60"/>
        <v>horizontal</v>
      </c>
      <c r="S1026" s="35">
        <v>0</v>
      </c>
      <c r="T1026" s="19">
        <v>0</v>
      </c>
      <c r="U1026" s="19">
        <v>1.4961832061068701</v>
      </c>
      <c r="V1026" s="20">
        <v>0</v>
      </c>
      <c r="W1026" s="20">
        <v>-1</v>
      </c>
      <c r="Z1026" s="15">
        <v>101</v>
      </c>
      <c r="AD1026" s="1">
        <v>2.3223350253807098</v>
      </c>
      <c r="AE1026" s="22" t="s">
        <v>93</v>
      </c>
      <c r="AF1026" s="22"/>
    </row>
    <row r="1027" spans="1:32" x14ac:dyDescent="0.2">
      <c r="A1027" s="1">
        <v>1209</v>
      </c>
      <c r="D1027" s="1" t="s">
        <v>4</v>
      </c>
      <c r="E1027" s="1" t="s">
        <v>25</v>
      </c>
      <c r="F1027" s="15">
        <v>0.5</v>
      </c>
      <c r="G1027" s="15">
        <v>0</v>
      </c>
      <c r="H1027" s="15">
        <v>0.9</v>
      </c>
      <c r="I1027" s="15">
        <f t="shared" si="67"/>
        <v>0.5</v>
      </c>
      <c r="O1027" s="18">
        <v>21</v>
      </c>
      <c r="Q1027" s="66" t="s">
        <v>2</v>
      </c>
      <c r="R1027" s="20" t="str">
        <f t="shared" si="60"/>
        <v>horizontal</v>
      </c>
      <c r="S1027" s="35">
        <v>0</v>
      </c>
      <c r="T1027" s="19">
        <v>0</v>
      </c>
      <c r="U1027" s="19">
        <v>1.80152671755725</v>
      </c>
      <c r="V1027" s="20">
        <v>0</v>
      </c>
      <c r="W1027" s="20">
        <v>-1</v>
      </c>
      <c r="Z1027" s="15">
        <v>101</v>
      </c>
      <c r="AD1027" s="1">
        <v>2.3578680203045601</v>
      </c>
      <c r="AE1027" s="22" t="s">
        <v>93</v>
      </c>
      <c r="AF1027" s="22"/>
    </row>
    <row r="1028" spans="1:32" x14ac:dyDescent="0.2">
      <c r="A1028" s="1">
        <v>1210</v>
      </c>
      <c r="D1028" s="1" t="s">
        <v>4</v>
      </c>
      <c r="E1028" s="1" t="s">
        <v>25</v>
      </c>
      <c r="F1028" s="15">
        <v>0.5</v>
      </c>
      <c r="G1028" s="15">
        <v>0</v>
      </c>
      <c r="H1028" s="15">
        <v>0.9</v>
      </c>
      <c r="I1028" s="15">
        <f t="shared" si="67"/>
        <v>0.5</v>
      </c>
      <c r="O1028" s="18">
        <v>21</v>
      </c>
      <c r="Q1028" s="66" t="s">
        <v>2</v>
      </c>
      <c r="R1028" s="20" t="str">
        <f t="shared" ref="R1028:R1091" si="68">R1027</f>
        <v>horizontal</v>
      </c>
      <c r="S1028" s="35">
        <v>0</v>
      </c>
      <c r="T1028" s="19">
        <v>0</v>
      </c>
      <c r="U1028" s="19">
        <v>2.1007633587786199</v>
      </c>
      <c r="V1028" s="20">
        <v>0</v>
      </c>
      <c r="W1028" s="20">
        <v>-1</v>
      </c>
      <c r="Z1028" s="15">
        <v>101</v>
      </c>
      <c r="AD1028" s="1">
        <v>2.3274111675126901</v>
      </c>
      <c r="AE1028" s="22" t="s">
        <v>93</v>
      </c>
      <c r="AF1028" s="22"/>
    </row>
    <row r="1029" spans="1:32" x14ac:dyDescent="0.2">
      <c r="A1029" s="1">
        <v>1211</v>
      </c>
      <c r="D1029" s="1" t="s">
        <v>4</v>
      </c>
      <c r="E1029" s="1" t="s">
        <v>25</v>
      </c>
      <c r="F1029" s="15">
        <v>0.5</v>
      </c>
      <c r="G1029" s="15">
        <v>0</v>
      </c>
      <c r="H1029" s="15">
        <v>1.1000000000000001</v>
      </c>
      <c r="I1029" s="15">
        <f t="shared" si="67"/>
        <v>0.5</v>
      </c>
      <c r="O1029" s="18">
        <v>21</v>
      </c>
      <c r="Q1029" s="66" t="s">
        <v>2</v>
      </c>
      <c r="R1029" s="20" t="str">
        <f t="shared" si="68"/>
        <v>horizontal</v>
      </c>
      <c r="S1029" s="35">
        <v>0</v>
      </c>
      <c r="T1029" s="19">
        <v>0</v>
      </c>
      <c r="U1029" s="19">
        <v>6.1068702290077298E-3</v>
      </c>
      <c r="V1029" s="20">
        <v>0</v>
      </c>
      <c r="W1029" s="20">
        <v>-1</v>
      </c>
      <c r="Z1029" s="15">
        <v>101</v>
      </c>
      <c r="AD1029" s="1">
        <v>1.98730964467005</v>
      </c>
      <c r="AE1029" s="22" t="s">
        <v>93</v>
      </c>
      <c r="AF1029" s="22"/>
    </row>
    <row r="1030" spans="1:32" x14ac:dyDescent="0.2">
      <c r="A1030" s="1">
        <v>1212</v>
      </c>
      <c r="D1030" s="1" t="s">
        <v>4</v>
      </c>
      <c r="E1030" s="1" t="s">
        <v>25</v>
      </c>
      <c r="F1030" s="15">
        <v>0.5</v>
      </c>
      <c r="G1030" s="15">
        <v>0</v>
      </c>
      <c r="H1030" s="15">
        <v>1.1000000000000001</v>
      </c>
      <c r="I1030" s="15">
        <f t="shared" ref="I1030:I1040" si="69">F1030</f>
        <v>0.5</v>
      </c>
      <c r="O1030" s="18">
        <v>21</v>
      </c>
      <c r="Q1030" s="66" t="s">
        <v>2</v>
      </c>
      <c r="R1030" s="20" t="str">
        <f t="shared" si="68"/>
        <v>horizontal</v>
      </c>
      <c r="S1030" s="35">
        <v>0</v>
      </c>
      <c r="T1030" s="19">
        <v>0</v>
      </c>
      <c r="U1030" s="19">
        <v>0.299236641221374</v>
      </c>
      <c r="V1030" s="20">
        <v>0</v>
      </c>
      <c r="W1030" s="20">
        <v>-1</v>
      </c>
      <c r="Z1030" s="15">
        <v>101</v>
      </c>
      <c r="AD1030" s="1">
        <v>2.0634517766497402</v>
      </c>
      <c r="AE1030" s="22" t="s">
        <v>93</v>
      </c>
      <c r="AF1030" s="22"/>
    </row>
    <row r="1031" spans="1:32" x14ac:dyDescent="0.2">
      <c r="A1031" s="1">
        <v>1213</v>
      </c>
      <c r="D1031" s="1" t="s">
        <v>4</v>
      </c>
      <c r="E1031" s="1" t="s">
        <v>25</v>
      </c>
      <c r="F1031" s="15">
        <v>0.5</v>
      </c>
      <c r="G1031" s="15">
        <v>0</v>
      </c>
      <c r="H1031" s="15">
        <v>1.1000000000000001</v>
      </c>
      <c r="I1031" s="15">
        <f t="shared" si="69"/>
        <v>0.5</v>
      </c>
      <c r="O1031" s="18">
        <v>21</v>
      </c>
      <c r="Q1031" s="66" t="s">
        <v>2</v>
      </c>
      <c r="R1031" s="20" t="str">
        <f t="shared" si="68"/>
        <v>horizontal</v>
      </c>
      <c r="S1031" s="35">
        <v>0</v>
      </c>
      <c r="T1031" s="19">
        <v>0</v>
      </c>
      <c r="U1031" s="19">
        <v>0.60458015267175491</v>
      </c>
      <c r="V1031" s="20">
        <v>0</v>
      </c>
      <c r="W1031" s="20">
        <v>-1</v>
      </c>
      <c r="Z1031" s="15">
        <v>101</v>
      </c>
      <c r="AD1031" s="1">
        <v>2.11928934010152</v>
      </c>
      <c r="AE1031" s="22" t="s">
        <v>93</v>
      </c>
      <c r="AF1031" s="22"/>
    </row>
    <row r="1032" spans="1:32" x14ac:dyDescent="0.2">
      <c r="A1032" s="1">
        <v>1214</v>
      </c>
      <c r="D1032" s="1" t="s">
        <v>4</v>
      </c>
      <c r="E1032" s="1" t="s">
        <v>25</v>
      </c>
      <c r="F1032" s="15">
        <v>0.5</v>
      </c>
      <c r="G1032" s="15">
        <v>0</v>
      </c>
      <c r="H1032" s="15">
        <v>1.1000000000000001</v>
      </c>
      <c r="I1032" s="15">
        <f t="shared" si="69"/>
        <v>0.5</v>
      </c>
      <c r="O1032" s="18">
        <v>21</v>
      </c>
      <c r="Q1032" s="65" t="s">
        <v>2</v>
      </c>
      <c r="R1032" s="20" t="str">
        <f t="shared" si="68"/>
        <v>horizontal</v>
      </c>
      <c r="S1032" s="35">
        <v>0</v>
      </c>
      <c r="T1032" s="19">
        <v>0</v>
      </c>
      <c r="U1032" s="19">
        <v>0.90381679389313008</v>
      </c>
      <c r="V1032" s="20">
        <v>0</v>
      </c>
      <c r="W1032" s="20">
        <v>-1</v>
      </c>
      <c r="Z1032" s="15">
        <v>101</v>
      </c>
      <c r="AD1032" s="1">
        <v>2.3223350253807098</v>
      </c>
      <c r="AE1032" s="22" t="s">
        <v>93</v>
      </c>
      <c r="AF1032" s="22"/>
    </row>
    <row r="1033" spans="1:32" x14ac:dyDescent="0.2">
      <c r="A1033" s="1">
        <v>1215</v>
      </c>
      <c r="D1033" s="1" t="s">
        <v>4</v>
      </c>
      <c r="E1033" s="1" t="s">
        <v>25</v>
      </c>
      <c r="F1033" s="15">
        <v>0.5</v>
      </c>
      <c r="G1033" s="15">
        <v>0</v>
      </c>
      <c r="H1033" s="15">
        <v>1.1000000000000001</v>
      </c>
      <c r="I1033" s="15">
        <f t="shared" si="69"/>
        <v>0.5</v>
      </c>
      <c r="O1033" s="18">
        <v>21</v>
      </c>
      <c r="Q1033" s="66" t="s">
        <v>2</v>
      </c>
      <c r="R1033" s="20" t="str">
        <f t="shared" si="68"/>
        <v>horizontal</v>
      </c>
      <c r="S1033" s="35">
        <v>0</v>
      </c>
      <c r="T1033" s="19">
        <v>0</v>
      </c>
      <c r="U1033" s="19">
        <v>1.2030534351145001</v>
      </c>
      <c r="V1033" s="20">
        <v>0</v>
      </c>
      <c r="W1033" s="20">
        <v>-1</v>
      </c>
      <c r="Z1033" s="15">
        <v>101</v>
      </c>
      <c r="AD1033" s="1">
        <v>2.3883248730964399</v>
      </c>
      <c r="AE1033" s="22" t="s">
        <v>93</v>
      </c>
      <c r="AF1033" s="22"/>
    </row>
    <row r="1034" spans="1:32" x14ac:dyDescent="0.2">
      <c r="A1034" s="1">
        <v>1216</v>
      </c>
      <c r="D1034" s="1" t="s">
        <v>4</v>
      </c>
      <c r="E1034" s="1" t="s">
        <v>25</v>
      </c>
      <c r="F1034" s="15">
        <v>0.5</v>
      </c>
      <c r="G1034" s="15">
        <v>0</v>
      </c>
      <c r="H1034" s="15">
        <v>1.1000000000000001</v>
      </c>
      <c r="I1034" s="15">
        <f t="shared" si="69"/>
        <v>0.5</v>
      </c>
      <c r="O1034" s="18">
        <v>21</v>
      </c>
      <c r="Q1034" s="66" t="s">
        <v>2</v>
      </c>
      <c r="R1034" s="20" t="str">
        <f t="shared" si="68"/>
        <v>horizontal</v>
      </c>
      <c r="S1034" s="35">
        <v>0</v>
      </c>
      <c r="T1034" s="19">
        <v>0</v>
      </c>
      <c r="U1034" s="19">
        <v>1.4961832061068701</v>
      </c>
      <c r="V1034" s="20">
        <v>0</v>
      </c>
      <c r="W1034" s="20">
        <v>-1</v>
      </c>
      <c r="Z1034" s="15">
        <v>101</v>
      </c>
      <c r="AD1034" s="1">
        <v>2.2360406091370502</v>
      </c>
      <c r="AE1034" s="22" t="s">
        <v>93</v>
      </c>
      <c r="AF1034" s="22"/>
    </row>
    <row r="1035" spans="1:32" x14ac:dyDescent="0.2">
      <c r="A1035" s="1">
        <v>1217</v>
      </c>
      <c r="D1035" s="1" t="s">
        <v>4</v>
      </c>
      <c r="E1035" s="1" t="s">
        <v>25</v>
      </c>
      <c r="F1035" s="15">
        <v>0.5</v>
      </c>
      <c r="G1035" s="15">
        <v>0</v>
      </c>
      <c r="H1035" s="15">
        <v>1.1000000000000001</v>
      </c>
      <c r="I1035" s="15">
        <f t="shared" si="69"/>
        <v>0.5</v>
      </c>
      <c r="O1035" s="18">
        <v>21</v>
      </c>
      <c r="Q1035" s="66" t="s">
        <v>2</v>
      </c>
      <c r="R1035" s="20" t="str">
        <f t="shared" si="68"/>
        <v>horizontal</v>
      </c>
      <c r="S1035" s="35">
        <v>0</v>
      </c>
      <c r="T1035" s="19">
        <v>0</v>
      </c>
      <c r="U1035" s="19">
        <v>1.80152671755725</v>
      </c>
      <c r="V1035" s="20">
        <v>0</v>
      </c>
      <c r="W1035" s="20">
        <v>-1</v>
      </c>
      <c r="Z1035" s="15">
        <v>101</v>
      </c>
      <c r="AD1035" s="1">
        <v>2.3578680203045601</v>
      </c>
      <c r="AE1035" s="22" t="s">
        <v>93</v>
      </c>
      <c r="AF1035" s="22"/>
    </row>
    <row r="1036" spans="1:32" x14ac:dyDescent="0.2">
      <c r="A1036" s="1">
        <v>1218</v>
      </c>
      <c r="D1036" s="1" t="s">
        <v>4</v>
      </c>
      <c r="E1036" s="1" t="s">
        <v>25</v>
      </c>
      <c r="F1036" s="15">
        <v>0.5</v>
      </c>
      <c r="G1036" s="15">
        <v>0</v>
      </c>
      <c r="H1036" s="15">
        <v>1.1000000000000001</v>
      </c>
      <c r="I1036" s="15">
        <f t="shared" si="69"/>
        <v>0.5</v>
      </c>
      <c r="O1036" s="18">
        <v>21</v>
      </c>
      <c r="Q1036" s="66" t="s">
        <v>2</v>
      </c>
      <c r="R1036" s="20" t="str">
        <f t="shared" si="68"/>
        <v>horizontal</v>
      </c>
      <c r="S1036" s="35">
        <v>0</v>
      </c>
      <c r="T1036" s="19">
        <v>0</v>
      </c>
      <c r="U1036" s="19">
        <v>2.1007633587786199</v>
      </c>
      <c r="V1036" s="20">
        <v>0</v>
      </c>
      <c r="W1036" s="20">
        <v>-1</v>
      </c>
      <c r="Z1036" s="15">
        <v>101</v>
      </c>
      <c r="AD1036" s="1">
        <v>2.3781725888324798</v>
      </c>
      <c r="AE1036" s="22" t="s">
        <v>93</v>
      </c>
      <c r="AF1036" s="22"/>
    </row>
    <row r="1037" spans="1:32" x14ac:dyDescent="0.2">
      <c r="A1037" s="1">
        <v>1219</v>
      </c>
      <c r="D1037" s="1" t="s">
        <v>4</v>
      </c>
      <c r="E1037" s="1" t="s">
        <v>25</v>
      </c>
      <c r="F1037" s="15">
        <v>0.5</v>
      </c>
      <c r="G1037" s="15">
        <v>0</v>
      </c>
      <c r="H1037" s="15">
        <v>1.1000000000000001</v>
      </c>
      <c r="I1037" s="15">
        <f t="shared" si="69"/>
        <v>0.5</v>
      </c>
      <c r="O1037" s="18">
        <v>21</v>
      </c>
      <c r="Q1037" s="66" t="s">
        <v>2</v>
      </c>
      <c r="R1037" s="20" t="str">
        <f t="shared" si="68"/>
        <v>horizontal</v>
      </c>
      <c r="S1037" s="35">
        <v>0</v>
      </c>
      <c r="T1037" s="19">
        <v>0</v>
      </c>
      <c r="U1037" s="19">
        <v>2.4</v>
      </c>
      <c r="V1037" s="20">
        <v>0</v>
      </c>
      <c r="W1037" s="20">
        <v>-1</v>
      </c>
      <c r="Z1037" s="15">
        <v>101</v>
      </c>
      <c r="AD1037" s="1">
        <v>2.3984771573604</v>
      </c>
      <c r="AE1037" s="22" t="s">
        <v>93</v>
      </c>
      <c r="AF1037" s="22"/>
    </row>
    <row r="1038" spans="1:32" x14ac:dyDescent="0.2">
      <c r="A1038" s="1">
        <v>1220</v>
      </c>
      <c r="D1038" s="1" t="s">
        <v>4</v>
      </c>
      <c r="E1038" s="1" t="s">
        <v>25</v>
      </c>
      <c r="F1038" s="15">
        <v>0.5</v>
      </c>
      <c r="G1038" s="15">
        <v>0</v>
      </c>
      <c r="H1038" s="15">
        <v>1.1000000000000001</v>
      </c>
      <c r="I1038" s="15">
        <f t="shared" si="69"/>
        <v>0.5</v>
      </c>
      <c r="O1038" s="18">
        <v>21</v>
      </c>
      <c r="Q1038" s="66" t="s">
        <v>2</v>
      </c>
      <c r="R1038" s="20" t="str">
        <f t="shared" si="68"/>
        <v>horizontal</v>
      </c>
      <c r="S1038" s="35">
        <v>0</v>
      </c>
      <c r="T1038" s="19">
        <v>0</v>
      </c>
      <c r="U1038" s="19">
        <v>2.6992366412213697</v>
      </c>
      <c r="V1038" s="20">
        <v>0</v>
      </c>
      <c r="W1038" s="20">
        <v>-1</v>
      </c>
      <c r="Z1038" s="15">
        <v>101</v>
      </c>
      <c r="AD1038" s="1">
        <v>2.4289340101522798</v>
      </c>
      <c r="AE1038" s="22" t="s">
        <v>93</v>
      </c>
      <c r="AF1038" s="22"/>
    </row>
    <row r="1039" spans="1:32" s="4" customFormat="1" x14ac:dyDescent="0.2">
      <c r="A1039" s="1">
        <v>1221</v>
      </c>
      <c r="B1039" s="52"/>
      <c r="D1039" s="4" t="s">
        <v>4</v>
      </c>
      <c r="E1039" s="4" t="s">
        <v>25</v>
      </c>
      <c r="F1039" s="53">
        <v>0.5</v>
      </c>
      <c r="G1039" s="53">
        <v>0</v>
      </c>
      <c r="H1039" s="53">
        <v>1.1000000000000001</v>
      </c>
      <c r="I1039" s="53">
        <f t="shared" si="69"/>
        <v>0.5</v>
      </c>
      <c r="J1039" s="54"/>
      <c r="K1039" s="54"/>
      <c r="L1039" s="54"/>
      <c r="M1039" s="55"/>
      <c r="N1039" s="56"/>
      <c r="O1039" s="56">
        <v>21</v>
      </c>
      <c r="P1039" s="57"/>
      <c r="Q1039" s="65" t="s">
        <v>2</v>
      </c>
      <c r="R1039" s="20" t="str">
        <f t="shared" si="68"/>
        <v>horizontal</v>
      </c>
      <c r="S1039" s="58">
        <v>0</v>
      </c>
      <c r="T1039" s="58">
        <v>0</v>
      </c>
      <c r="U1039" s="58">
        <v>2.99847328244274</v>
      </c>
      <c r="V1039" s="59">
        <v>0</v>
      </c>
      <c r="W1039" s="59">
        <v>-1</v>
      </c>
      <c r="Y1039" s="56"/>
      <c r="Z1039" s="53">
        <v>101</v>
      </c>
      <c r="AA1039" s="54"/>
      <c r="AB1039" s="54"/>
      <c r="AC1039" s="54"/>
      <c r="AD1039" s="4">
        <v>2.3883248730964399</v>
      </c>
      <c r="AE1039" s="60" t="s">
        <v>93</v>
      </c>
      <c r="AF1039" s="22"/>
    </row>
    <row r="1040" spans="1:32" s="3" customFormat="1" x14ac:dyDescent="0.2">
      <c r="A1040" s="1">
        <v>1222</v>
      </c>
      <c r="B1040" s="47"/>
      <c r="D1040" s="3" t="s">
        <v>9</v>
      </c>
      <c r="E1040" s="3" t="s">
        <v>25</v>
      </c>
      <c r="F1040" s="34">
        <v>0.3</v>
      </c>
      <c r="G1040" s="34">
        <v>0</v>
      </c>
      <c r="H1040" s="34">
        <v>0.6</v>
      </c>
      <c r="I1040" s="34">
        <f t="shared" si="69"/>
        <v>0.3</v>
      </c>
      <c r="J1040" s="48"/>
      <c r="K1040" s="48"/>
      <c r="L1040" s="48"/>
      <c r="M1040" s="49"/>
      <c r="N1040" s="50"/>
      <c r="O1040" s="50">
        <v>21</v>
      </c>
      <c r="P1040" s="51"/>
      <c r="Q1040" s="66" t="s">
        <v>2</v>
      </c>
      <c r="R1040" s="20" t="str">
        <f t="shared" si="68"/>
        <v>horizontal</v>
      </c>
      <c r="S1040" s="35">
        <v>0</v>
      </c>
      <c r="T1040" s="35">
        <v>0</v>
      </c>
      <c r="U1040" s="35">
        <v>8.0620393120390994E-3</v>
      </c>
      <c r="V1040" s="36">
        <v>0</v>
      </c>
      <c r="W1040" s="36">
        <v>-1</v>
      </c>
      <c r="Y1040" s="50"/>
      <c r="Z1040" s="34">
        <v>101</v>
      </c>
      <c r="AA1040" s="48"/>
      <c r="AB1040" s="48"/>
      <c r="AC1040" s="48"/>
      <c r="AD1040" s="3">
        <v>3.1666666666666599</v>
      </c>
      <c r="AE1040" s="37" t="s">
        <v>94</v>
      </c>
      <c r="AF1040" s="22"/>
    </row>
    <row r="1041" spans="1:32" x14ac:dyDescent="0.2">
      <c r="A1041" s="1">
        <v>1223</v>
      </c>
      <c r="D1041" s="1" t="s">
        <v>9</v>
      </c>
      <c r="E1041" s="1" t="s">
        <v>25</v>
      </c>
      <c r="F1041" s="15">
        <v>0.3</v>
      </c>
      <c r="G1041" s="15">
        <v>0</v>
      </c>
      <c r="H1041" s="15">
        <v>0.6</v>
      </c>
      <c r="I1041" s="15">
        <f t="shared" ref="I1041:I1054" si="70">F1041</f>
        <v>0.3</v>
      </c>
      <c r="O1041" s="18">
        <v>21</v>
      </c>
      <c r="Q1041" s="66" t="s">
        <v>2</v>
      </c>
      <c r="R1041" s="20" t="str">
        <f t="shared" si="68"/>
        <v>horizontal</v>
      </c>
      <c r="S1041" s="35">
        <v>0</v>
      </c>
      <c r="T1041" s="19">
        <v>0</v>
      </c>
      <c r="U1041" s="19">
        <v>0.40801881426881403</v>
      </c>
      <c r="V1041" s="20">
        <v>0</v>
      </c>
      <c r="W1041" s="20">
        <v>-1</v>
      </c>
      <c r="Z1041" s="15">
        <v>101</v>
      </c>
      <c r="AD1041" s="1">
        <v>3.2992424242424199</v>
      </c>
      <c r="AE1041" s="22" t="s">
        <v>94</v>
      </c>
      <c r="AF1041" s="22"/>
    </row>
    <row r="1042" spans="1:32" x14ac:dyDescent="0.2">
      <c r="A1042" s="1">
        <v>1224</v>
      </c>
      <c r="D1042" s="1" t="s">
        <v>9</v>
      </c>
      <c r="E1042" s="1" t="s">
        <v>25</v>
      </c>
      <c r="F1042" s="15">
        <v>0.3</v>
      </c>
      <c r="G1042" s="15">
        <v>0</v>
      </c>
      <c r="H1042" s="15">
        <v>0.6</v>
      </c>
      <c r="I1042" s="15">
        <f t="shared" si="70"/>
        <v>0.3</v>
      </c>
      <c r="O1042" s="18">
        <v>21</v>
      </c>
      <c r="Q1042" s="66" t="s">
        <v>2</v>
      </c>
      <c r="R1042" s="20" t="str">
        <f t="shared" si="68"/>
        <v>horizontal</v>
      </c>
      <c r="S1042" s="35">
        <v>0</v>
      </c>
      <c r="T1042" s="19">
        <v>0</v>
      </c>
      <c r="U1042" s="19">
        <v>0.79722620347620199</v>
      </c>
      <c r="V1042" s="20">
        <v>0</v>
      </c>
      <c r="W1042" s="20">
        <v>-1</v>
      </c>
      <c r="Z1042" s="15">
        <v>101</v>
      </c>
      <c r="AD1042" s="1">
        <v>3.3749999999999898</v>
      </c>
      <c r="AE1042" s="22" t="s">
        <v>94</v>
      </c>
      <c r="AF1042" s="22"/>
    </row>
    <row r="1043" spans="1:32" x14ac:dyDescent="0.2">
      <c r="A1043" s="1">
        <v>1225</v>
      </c>
      <c r="D1043" s="1" t="s">
        <v>9</v>
      </c>
      <c r="E1043" s="1" t="s">
        <v>25</v>
      </c>
      <c r="F1043" s="15">
        <v>0.3</v>
      </c>
      <c r="G1043" s="15">
        <v>0</v>
      </c>
      <c r="H1043" s="15">
        <v>0.6</v>
      </c>
      <c r="I1043" s="15">
        <f t="shared" si="70"/>
        <v>0.3</v>
      </c>
      <c r="O1043" s="18">
        <v>21</v>
      </c>
      <c r="Q1043" s="66" t="s">
        <v>2</v>
      </c>
      <c r="R1043" s="20" t="str">
        <f t="shared" si="68"/>
        <v>horizontal</v>
      </c>
      <c r="S1043" s="35">
        <v>0</v>
      </c>
      <c r="T1043" s="19">
        <v>0</v>
      </c>
      <c r="U1043" s="19">
        <v>1.2071162071162</v>
      </c>
      <c r="V1043" s="20">
        <v>0</v>
      </c>
      <c r="W1043" s="20">
        <v>-1</v>
      </c>
      <c r="Z1043" s="15">
        <v>101</v>
      </c>
      <c r="AD1043" s="1">
        <v>3.37026515151515</v>
      </c>
      <c r="AE1043" s="22" t="s">
        <v>94</v>
      </c>
      <c r="AF1043" s="22"/>
    </row>
    <row r="1044" spans="1:32" x14ac:dyDescent="0.2">
      <c r="A1044" s="1">
        <v>1226</v>
      </c>
      <c r="D1044" s="1" t="s">
        <v>9</v>
      </c>
      <c r="E1044" s="1" t="s">
        <v>25</v>
      </c>
      <c r="F1044" s="15">
        <v>0.3</v>
      </c>
      <c r="G1044" s="15">
        <v>0</v>
      </c>
      <c r="H1044" s="15">
        <v>0.6</v>
      </c>
      <c r="I1044" s="15">
        <f t="shared" si="70"/>
        <v>0.3</v>
      </c>
      <c r="O1044" s="18">
        <v>21</v>
      </c>
      <c r="Q1044" s="66" t="s">
        <v>2</v>
      </c>
      <c r="R1044" s="20" t="str">
        <f t="shared" si="68"/>
        <v>horizontal</v>
      </c>
      <c r="S1044" s="35">
        <v>0</v>
      </c>
      <c r="T1044" s="19">
        <v>0</v>
      </c>
      <c r="U1044" s="19">
        <v>1.6066748566748501</v>
      </c>
      <c r="V1044" s="20">
        <v>0</v>
      </c>
      <c r="W1044" s="20">
        <v>-1</v>
      </c>
      <c r="Z1044" s="15">
        <v>101</v>
      </c>
      <c r="AD1044" s="1">
        <v>3.4081439393939301</v>
      </c>
      <c r="AE1044" s="22" t="s">
        <v>94</v>
      </c>
      <c r="AF1044" s="22"/>
    </row>
    <row r="1045" spans="1:32" x14ac:dyDescent="0.2">
      <c r="A1045" s="1">
        <v>1227</v>
      </c>
      <c r="D1045" s="1" t="s">
        <v>9</v>
      </c>
      <c r="E1045" s="1" t="s">
        <v>25</v>
      </c>
      <c r="F1045" s="15">
        <v>0.3</v>
      </c>
      <c r="G1045" s="15">
        <v>0</v>
      </c>
      <c r="H1045" s="15">
        <v>0.6</v>
      </c>
      <c r="I1045" s="15">
        <f t="shared" si="70"/>
        <v>0.3</v>
      </c>
      <c r="O1045" s="18">
        <v>21</v>
      </c>
      <c r="Q1045" s="66" t="s">
        <v>2</v>
      </c>
      <c r="R1045" s="20" t="str">
        <f t="shared" si="68"/>
        <v>horizontal</v>
      </c>
      <c r="S1045" s="35">
        <v>0</v>
      </c>
      <c r="T1045" s="19">
        <v>0</v>
      </c>
      <c r="U1045" s="19">
        <v>2.0055765993265902</v>
      </c>
      <c r="V1045" s="20">
        <v>0</v>
      </c>
      <c r="W1045" s="20">
        <v>-1</v>
      </c>
      <c r="Z1045" s="15">
        <v>101</v>
      </c>
      <c r="AD1045" s="1">
        <v>3.28977272727272</v>
      </c>
      <c r="AE1045" s="22" t="s">
        <v>94</v>
      </c>
      <c r="AF1045" s="22"/>
    </row>
    <row r="1046" spans="1:32" x14ac:dyDescent="0.2">
      <c r="A1046" s="1">
        <v>1228</v>
      </c>
      <c r="D1046" s="1" t="s">
        <v>9</v>
      </c>
      <c r="E1046" s="1" t="s">
        <v>25</v>
      </c>
      <c r="F1046" s="15">
        <v>0.3</v>
      </c>
      <c r="G1046" s="15">
        <v>0</v>
      </c>
      <c r="H1046" s="15">
        <v>0.6</v>
      </c>
      <c r="I1046" s="15">
        <f t="shared" si="70"/>
        <v>0.3</v>
      </c>
      <c r="O1046" s="18">
        <v>21</v>
      </c>
      <c r="Q1046" s="65" t="s">
        <v>2</v>
      </c>
      <c r="R1046" s="20" t="str">
        <f t="shared" si="68"/>
        <v>horizontal</v>
      </c>
      <c r="S1046" s="35">
        <v>0</v>
      </c>
      <c r="T1046" s="19">
        <v>0</v>
      </c>
      <c r="U1046" s="19">
        <v>2.4049759987259902</v>
      </c>
      <c r="V1046" s="20">
        <v>0</v>
      </c>
      <c r="W1046" s="20">
        <v>-1</v>
      </c>
      <c r="Z1046" s="15">
        <v>101</v>
      </c>
      <c r="AD1046" s="1">
        <v>3.28977272727272</v>
      </c>
      <c r="AE1046" s="22" t="s">
        <v>94</v>
      </c>
      <c r="AF1046" s="22"/>
    </row>
    <row r="1047" spans="1:32" x14ac:dyDescent="0.2">
      <c r="A1047" s="1">
        <v>1229</v>
      </c>
      <c r="D1047" s="1" t="s">
        <v>9</v>
      </c>
      <c r="E1047" s="1" t="s">
        <v>25</v>
      </c>
      <c r="F1047" s="15">
        <v>0.3</v>
      </c>
      <c r="G1047" s="15">
        <v>0</v>
      </c>
      <c r="H1047" s="15">
        <v>0.6</v>
      </c>
      <c r="I1047" s="15">
        <f t="shared" si="70"/>
        <v>0.3</v>
      </c>
      <c r="O1047" s="18">
        <v>21</v>
      </c>
      <c r="Q1047" s="66" t="s">
        <v>2</v>
      </c>
      <c r="R1047" s="20" t="str">
        <f t="shared" si="68"/>
        <v>horizontal</v>
      </c>
      <c r="S1047" s="35">
        <v>0</v>
      </c>
      <c r="T1047" s="19">
        <v>0</v>
      </c>
      <c r="U1047" s="19">
        <v>2.8036587724087698</v>
      </c>
      <c r="V1047" s="20">
        <v>0</v>
      </c>
      <c r="W1047" s="20">
        <v>-1</v>
      </c>
      <c r="Z1047" s="15">
        <v>101</v>
      </c>
      <c r="AD1047" s="1">
        <v>3.1193181818181799</v>
      </c>
      <c r="AE1047" s="22" t="s">
        <v>94</v>
      </c>
      <c r="AF1047" s="22"/>
    </row>
    <row r="1048" spans="1:32" x14ac:dyDescent="0.2">
      <c r="A1048" s="1">
        <v>1230</v>
      </c>
      <c r="D1048" s="1" t="s">
        <v>9</v>
      </c>
      <c r="E1048" s="1" t="s">
        <v>25</v>
      </c>
      <c r="F1048" s="15">
        <v>0.3</v>
      </c>
      <c r="G1048" s="15">
        <v>0</v>
      </c>
      <c r="H1048" s="15">
        <v>0.6</v>
      </c>
      <c r="I1048" s="15">
        <f t="shared" si="70"/>
        <v>0.3</v>
      </c>
      <c r="O1048" s="18">
        <v>21</v>
      </c>
      <c r="Q1048" s="66" t="s">
        <v>2</v>
      </c>
      <c r="R1048" s="20" t="str">
        <f t="shared" si="68"/>
        <v>horizontal</v>
      </c>
      <c r="S1048" s="35">
        <v>0</v>
      </c>
      <c r="T1048" s="19">
        <v>0</v>
      </c>
      <c r="U1048" s="19">
        <v>3.2028591091091001</v>
      </c>
      <c r="V1048" s="20">
        <v>0</v>
      </c>
      <c r="W1048" s="20">
        <v>-1</v>
      </c>
      <c r="Z1048" s="15">
        <v>101</v>
      </c>
      <c r="AD1048" s="1">
        <v>3.0719696969696901</v>
      </c>
      <c r="AE1048" s="22" t="s">
        <v>94</v>
      </c>
      <c r="AF1048" s="22"/>
    </row>
    <row r="1049" spans="1:32" x14ac:dyDescent="0.2">
      <c r="A1049" s="1">
        <v>1231</v>
      </c>
      <c r="D1049" s="1" t="s">
        <v>9</v>
      </c>
      <c r="E1049" s="1" t="s">
        <v>25</v>
      </c>
      <c r="F1049" s="15">
        <v>0.3</v>
      </c>
      <c r="G1049" s="15">
        <v>0</v>
      </c>
      <c r="H1049" s="15">
        <v>0.6</v>
      </c>
      <c r="I1049" s="15">
        <f t="shared" si="70"/>
        <v>0.3</v>
      </c>
      <c r="O1049" s="18">
        <v>21</v>
      </c>
      <c r="Q1049" s="66" t="s">
        <v>2</v>
      </c>
      <c r="R1049" s="20" t="str">
        <f t="shared" si="68"/>
        <v>horizontal</v>
      </c>
      <c r="S1049" s="35">
        <v>0</v>
      </c>
      <c r="T1049" s="19">
        <v>0</v>
      </c>
      <c r="U1049" s="19">
        <v>4.2007604195104102</v>
      </c>
      <c r="V1049" s="20">
        <v>0</v>
      </c>
      <c r="W1049" s="20">
        <v>-1</v>
      </c>
      <c r="Z1049" s="15">
        <v>101</v>
      </c>
      <c r="AD1049" s="1">
        <v>2.92992424242424</v>
      </c>
      <c r="AE1049" s="22" t="s">
        <v>94</v>
      </c>
      <c r="AF1049" s="22"/>
    </row>
    <row r="1050" spans="1:32" x14ac:dyDescent="0.2">
      <c r="A1050" s="1">
        <v>1232</v>
      </c>
      <c r="D1050" s="1" t="s">
        <v>9</v>
      </c>
      <c r="E1050" s="1" t="s">
        <v>25</v>
      </c>
      <c r="F1050" s="15">
        <v>0.3</v>
      </c>
      <c r="G1050" s="15">
        <v>0</v>
      </c>
      <c r="H1050" s="15">
        <v>0.6</v>
      </c>
      <c r="I1050" s="15">
        <f t="shared" si="70"/>
        <v>0.3</v>
      </c>
      <c r="O1050" s="18">
        <v>21</v>
      </c>
      <c r="Q1050" s="66" t="s">
        <v>2</v>
      </c>
      <c r="R1050" s="20" t="str">
        <f t="shared" si="68"/>
        <v>horizontal</v>
      </c>
      <c r="S1050" s="35">
        <v>0</v>
      </c>
      <c r="T1050" s="19">
        <v>0</v>
      </c>
      <c r="U1050" s="19">
        <v>4.9993800618800597</v>
      </c>
      <c r="V1050" s="20">
        <v>0</v>
      </c>
      <c r="W1050" s="20">
        <v>-1</v>
      </c>
      <c r="Z1050" s="15">
        <v>101</v>
      </c>
      <c r="AD1050" s="1">
        <v>2.8873106060606002</v>
      </c>
      <c r="AE1050" s="22" t="s">
        <v>94</v>
      </c>
      <c r="AF1050" s="22"/>
    </row>
    <row r="1051" spans="1:32" x14ac:dyDescent="0.2">
      <c r="A1051" s="1">
        <v>1233</v>
      </c>
      <c r="D1051" s="1" t="s">
        <v>9</v>
      </c>
      <c r="E1051" s="1" t="s">
        <v>25</v>
      </c>
      <c r="F1051" s="15">
        <v>0.3</v>
      </c>
      <c r="G1051" s="15">
        <v>0</v>
      </c>
      <c r="H1051" s="15">
        <v>0.6</v>
      </c>
      <c r="I1051" s="15">
        <f t="shared" si="70"/>
        <v>0.3</v>
      </c>
      <c r="O1051" s="18">
        <v>21</v>
      </c>
      <c r="Q1051" s="66" t="s">
        <v>2</v>
      </c>
      <c r="R1051" s="20" t="str">
        <f t="shared" si="68"/>
        <v>horizontal</v>
      </c>
      <c r="S1051" s="35">
        <v>0</v>
      </c>
      <c r="T1051" s="19">
        <v>0</v>
      </c>
      <c r="U1051" s="19">
        <v>5.8087689962689897</v>
      </c>
      <c r="V1051" s="20">
        <v>0</v>
      </c>
      <c r="W1051" s="20">
        <v>-1</v>
      </c>
      <c r="Z1051" s="15">
        <v>101</v>
      </c>
      <c r="AD1051" s="1">
        <v>2.9062499999999898</v>
      </c>
      <c r="AE1051" s="22" t="s">
        <v>94</v>
      </c>
      <c r="AF1051" s="22"/>
    </row>
    <row r="1052" spans="1:32" x14ac:dyDescent="0.2">
      <c r="A1052" s="1">
        <v>1234</v>
      </c>
      <c r="D1052" s="1" t="s">
        <v>9</v>
      </c>
      <c r="E1052" s="1" t="s">
        <v>25</v>
      </c>
      <c r="F1052" s="15">
        <v>0.3</v>
      </c>
      <c r="G1052" s="15">
        <v>0</v>
      </c>
      <c r="H1052" s="15">
        <v>0.6</v>
      </c>
      <c r="I1052" s="15">
        <f t="shared" si="70"/>
        <v>0.3</v>
      </c>
      <c r="O1052" s="18">
        <v>21</v>
      </c>
      <c r="Q1052" s="66" t="s">
        <v>2</v>
      </c>
      <c r="R1052" s="20" t="str">
        <f t="shared" si="68"/>
        <v>horizontal</v>
      </c>
      <c r="S1052" s="35">
        <v>0</v>
      </c>
      <c r="T1052" s="19">
        <v>0</v>
      </c>
      <c r="U1052" s="19">
        <v>6.4074500637000593</v>
      </c>
      <c r="V1052" s="20">
        <v>0</v>
      </c>
      <c r="W1052" s="20">
        <v>-1</v>
      </c>
      <c r="Z1052" s="15">
        <v>101</v>
      </c>
      <c r="AD1052" s="1">
        <v>2.8068181818181799</v>
      </c>
      <c r="AE1052" s="22" t="s">
        <v>94</v>
      </c>
      <c r="AF1052" s="22"/>
    </row>
    <row r="1053" spans="1:32" x14ac:dyDescent="0.2">
      <c r="A1053" s="1">
        <v>1235</v>
      </c>
      <c r="D1053" s="1" t="s">
        <v>9</v>
      </c>
      <c r="E1053" s="1" t="s">
        <v>25</v>
      </c>
      <c r="F1053" s="15">
        <v>0.3</v>
      </c>
      <c r="G1053" s="15">
        <v>0</v>
      </c>
      <c r="H1053" s="15">
        <v>0.6</v>
      </c>
      <c r="I1053" s="15">
        <f t="shared" si="70"/>
        <v>0.3</v>
      </c>
      <c r="O1053" s="18">
        <v>21</v>
      </c>
      <c r="Q1053" s="65" t="s">
        <v>2</v>
      </c>
      <c r="R1053" s="20" t="str">
        <f t="shared" si="68"/>
        <v>horizontal</v>
      </c>
      <c r="S1053" s="35">
        <v>0</v>
      </c>
      <c r="T1053" s="19">
        <v>0</v>
      </c>
      <c r="U1053" s="19">
        <v>6.80553564928565</v>
      </c>
      <c r="V1053" s="20">
        <v>0</v>
      </c>
      <c r="W1053" s="20">
        <v>-1</v>
      </c>
      <c r="Z1053" s="15">
        <v>101</v>
      </c>
      <c r="AD1053" s="1">
        <v>2.4943181818181799</v>
      </c>
      <c r="AE1053" s="22" t="s">
        <v>94</v>
      </c>
      <c r="AF1053" s="22"/>
    </row>
    <row r="1054" spans="1:32" x14ac:dyDescent="0.2">
      <c r="A1054" s="1">
        <v>1236</v>
      </c>
      <c r="D1054" s="1" t="s">
        <v>9</v>
      </c>
      <c r="E1054" s="1" t="s">
        <v>25</v>
      </c>
      <c r="F1054" s="15">
        <v>0.5</v>
      </c>
      <c r="G1054" s="15">
        <v>0</v>
      </c>
      <c r="H1054" s="15">
        <v>0.8</v>
      </c>
      <c r="I1054" s="15">
        <f t="shared" si="70"/>
        <v>0.5</v>
      </c>
      <c r="O1054" s="18">
        <v>21</v>
      </c>
      <c r="Q1054" s="66" t="s">
        <v>2</v>
      </c>
      <c r="R1054" s="20" t="str">
        <f t="shared" si="68"/>
        <v>horizontal</v>
      </c>
      <c r="S1054" s="35">
        <v>0</v>
      </c>
      <c r="T1054" s="19">
        <v>0</v>
      </c>
      <c r="U1054" s="19">
        <v>4.9367549367547101E-3</v>
      </c>
      <c r="V1054" s="20">
        <v>0</v>
      </c>
      <c r="W1054" s="20">
        <v>-1</v>
      </c>
      <c r="Z1054" s="15">
        <v>101</v>
      </c>
      <c r="AD1054" s="1">
        <v>2.4232954545454501</v>
      </c>
      <c r="AE1054" s="22" t="s">
        <v>94</v>
      </c>
      <c r="AF1054" s="22"/>
    </row>
    <row r="1055" spans="1:32" x14ac:dyDescent="0.2">
      <c r="A1055" s="1">
        <v>1237</v>
      </c>
      <c r="D1055" s="1" t="s">
        <v>9</v>
      </c>
      <c r="E1055" s="1" t="s">
        <v>25</v>
      </c>
      <c r="F1055" s="15">
        <v>0.5</v>
      </c>
      <c r="G1055" s="15">
        <v>0</v>
      </c>
      <c r="H1055" s="15">
        <v>0.8</v>
      </c>
      <c r="I1055" s="15">
        <f t="shared" ref="I1055:I1062" si="71">F1055</f>
        <v>0.5</v>
      </c>
      <c r="O1055" s="18">
        <v>21</v>
      </c>
      <c r="Q1055" s="66" t="s">
        <v>2</v>
      </c>
      <c r="R1055" s="20" t="str">
        <f t="shared" si="68"/>
        <v>horizontal</v>
      </c>
      <c r="S1055" s="35">
        <v>0</v>
      </c>
      <c r="T1055" s="19">
        <v>0</v>
      </c>
      <c r="U1055" s="19">
        <v>0.39430339430339301</v>
      </c>
      <c r="V1055" s="20">
        <v>0</v>
      </c>
      <c r="W1055" s="20">
        <v>-1</v>
      </c>
      <c r="Z1055" s="15">
        <v>101</v>
      </c>
      <c r="AD1055" s="1">
        <v>2.5369318181818099</v>
      </c>
      <c r="AE1055" s="22" t="s">
        <v>94</v>
      </c>
      <c r="AF1055" s="22"/>
    </row>
    <row r="1056" spans="1:32" x14ac:dyDescent="0.2">
      <c r="A1056" s="1">
        <v>1238</v>
      </c>
      <c r="D1056" s="1" t="s">
        <v>9</v>
      </c>
      <c r="E1056" s="1" t="s">
        <v>25</v>
      </c>
      <c r="F1056" s="15">
        <v>0.5</v>
      </c>
      <c r="G1056" s="15">
        <v>0</v>
      </c>
      <c r="H1056" s="15">
        <v>0.8</v>
      </c>
      <c r="I1056" s="15">
        <f t="shared" si="71"/>
        <v>0.5</v>
      </c>
      <c r="O1056" s="18">
        <v>21</v>
      </c>
      <c r="Q1056" s="66" t="s">
        <v>2</v>
      </c>
      <c r="R1056" s="20" t="str">
        <f t="shared" si="68"/>
        <v>horizontal</v>
      </c>
      <c r="S1056" s="35">
        <v>0</v>
      </c>
      <c r="T1056" s="19">
        <v>0</v>
      </c>
      <c r="U1056" s="19">
        <v>0.80447208572208595</v>
      </c>
      <c r="V1056" s="20">
        <v>0</v>
      </c>
      <c r="W1056" s="20">
        <v>-1</v>
      </c>
      <c r="Z1056" s="15">
        <v>101</v>
      </c>
      <c r="AD1056" s="1">
        <v>2.5984848484848402</v>
      </c>
      <c r="AE1056" s="22" t="s">
        <v>94</v>
      </c>
      <c r="AF1056" s="22"/>
    </row>
    <row r="1057" spans="1:32" x14ac:dyDescent="0.2">
      <c r="A1057" s="1">
        <v>1239</v>
      </c>
      <c r="D1057" s="1" t="s">
        <v>9</v>
      </c>
      <c r="E1057" s="1" t="s">
        <v>25</v>
      </c>
      <c r="F1057" s="15">
        <v>0.5</v>
      </c>
      <c r="G1057" s="15">
        <v>0</v>
      </c>
      <c r="H1057" s="15">
        <v>0.8</v>
      </c>
      <c r="I1057" s="15">
        <f t="shared" si="71"/>
        <v>0.5</v>
      </c>
      <c r="O1057" s="18">
        <v>21</v>
      </c>
      <c r="Q1057" s="66" t="s">
        <v>2</v>
      </c>
      <c r="R1057" s="20" t="str">
        <f t="shared" si="68"/>
        <v>horizontal</v>
      </c>
      <c r="S1057" s="35">
        <v>0</v>
      </c>
      <c r="T1057" s="19">
        <v>0</v>
      </c>
      <c r="U1057" s="19">
        <v>1.2039312039312</v>
      </c>
      <c r="V1057" s="20">
        <v>0</v>
      </c>
      <c r="W1057" s="20">
        <v>-1</v>
      </c>
      <c r="Z1057" s="15">
        <v>101</v>
      </c>
      <c r="AD1057" s="1">
        <v>2.61268939393939</v>
      </c>
      <c r="AE1057" s="22" t="s">
        <v>94</v>
      </c>
      <c r="AF1057" s="22"/>
    </row>
    <row r="1058" spans="1:32" x14ac:dyDescent="0.2">
      <c r="A1058" s="1">
        <v>1240</v>
      </c>
      <c r="D1058" s="1" t="s">
        <v>9</v>
      </c>
      <c r="E1058" s="1" t="s">
        <v>25</v>
      </c>
      <c r="F1058" s="15">
        <v>0.5</v>
      </c>
      <c r="G1058" s="15">
        <v>0</v>
      </c>
      <c r="H1058" s="15">
        <v>0.8</v>
      </c>
      <c r="I1058" s="15">
        <f t="shared" si="71"/>
        <v>0.5</v>
      </c>
      <c r="O1058" s="18">
        <v>21</v>
      </c>
      <c r="Q1058" s="66" t="s">
        <v>2</v>
      </c>
      <c r="R1058" s="20" t="str">
        <f t="shared" si="68"/>
        <v>horizontal</v>
      </c>
      <c r="S1058" s="35">
        <v>0</v>
      </c>
      <c r="T1058" s="19">
        <v>0</v>
      </c>
      <c r="U1058" s="19">
        <v>1.59220299845299</v>
      </c>
      <c r="V1058" s="20">
        <v>0</v>
      </c>
      <c r="W1058" s="20">
        <v>-1</v>
      </c>
      <c r="Z1058" s="15">
        <v>101</v>
      </c>
      <c r="AD1058" s="1">
        <v>2.4659090909090899</v>
      </c>
      <c r="AE1058" s="22" t="s">
        <v>94</v>
      </c>
      <c r="AF1058" s="22"/>
    </row>
    <row r="1059" spans="1:32" x14ac:dyDescent="0.2">
      <c r="A1059" s="1">
        <v>1241</v>
      </c>
      <c r="D1059" s="1" t="s">
        <v>9</v>
      </c>
      <c r="E1059" s="1" t="s">
        <v>25</v>
      </c>
      <c r="F1059" s="15">
        <v>0.5</v>
      </c>
      <c r="G1059" s="15">
        <v>0</v>
      </c>
      <c r="H1059" s="15">
        <v>0.8</v>
      </c>
      <c r="I1059" s="15">
        <f t="shared" si="71"/>
        <v>0.5</v>
      </c>
      <c r="O1059" s="18">
        <v>21</v>
      </c>
      <c r="Q1059" s="66" t="s">
        <v>2</v>
      </c>
      <c r="R1059" s="20" t="str">
        <f t="shared" si="68"/>
        <v>horizontal</v>
      </c>
      <c r="S1059" s="35">
        <v>0</v>
      </c>
      <c r="T1059" s="19">
        <v>0</v>
      </c>
      <c r="U1059" s="19">
        <v>2.0018541268541199</v>
      </c>
      <c r="V1059" s="20">
        <v>0</v>
      </c>
      <c r="W1059" s="20">
        <v>-1</v>
      </c>
      <c r="Z1059" s="15">
        <v>101</v>
      </c>
      <c r="AD1059" s="1">
        <v>2.4043560606060499</v>
      </c>
      <c r="AE1059" s="22" t="s">
        <v>94</v>
      </c>
      <c r="AF1059" s="22"/>
    </row>
    <row r="1060" spans="1:32" x14ac:dyDescent="0.2">
      <c r="A1060" s="1">
        <v>1242</v>
      </c>
      <c r="D1060" s="1" t="s">
        <v>9</v>
      </c>
      <c r="E1060" s="1" t="s">
        <v>25</v>
      </c>
      <c r="F1060" s="15">
        <v>0.5</v>
      </c>
      <c r="G1060" s="15">
        <v>0</v>
      </c>
      <c r="H1060" s="15">
        <v>0.8</v>
      </c>
      <c r="I1060" s="15">
        <f t="shared" si="71"/>
        <v>0.5</v>
      </c>
      <c r="O1060" s="18">
        <v>21</v>
      </c>
      <c r="Q1060" s="65" t="s">
        <v>2</v>
      </c>
      <c r="R1060" s="20" t="str">
        <f t="shared" si="68"/>
        <v>horizontal</v>
      </c>
      <c r="S1060" s="35">
        <v>0</v>
      </c>
      <c r="T1060" s="19">
        <v>0</v>
      </c>
      <c r="U1060" s="19">
        <v>2.4006165256165199</v>
      </c>
      <c r="V1060" s="20">
        <v>0</v>
      </c>
      <c r="W1060" s="20">
        <v>-1</v>
      </c>
      <c r="Z1060" s="15">
        <v>101</v>
      </c>
      <c r="AD1060" s="1">
        <v>2.2528409090908998</v>
      </c>
      <c r="AE1060" s="22" t="s">
        <v>94</v>
      </c>
      <c r="AF1060" s="22"/>
    </row>
    <row r="1061" spans="1:32" x14ac:dyDescent="0.2">
      <c r="A1061" s="1">
        <v>1243</v>
      </c>
      <c r="D1061" s="1" t="s">
        <v>9</v>
      </c>
      <c r="E1061" s="1" t="s">
        <v>25</v>
      </c>
      <c r="F1061" s="15">
        <v>0.5</v>
      </c>
      <c r="G1061" s="15">
        <v>0</v>
      </c>
      <c r="H1061" s="15">
        <v>0.8</v>
      </c>
      <c r="I1061" s="15">
        <f t="shared" si="71"/>
        <v>0.5</v>
      </c>
      <c r="O1061" s="18">
        <v>21</v>
      </c>
      <c r="Q1061" s="66" t="s">
        <v>2</v>
      </c>
      <c r="R1061" s="20" t="str">
        <f t="shared" si="68"/>
        <v>horizontal</v>
      </c>
      <c r="S1061" s="35">
        <v>0</v>
      </c>
      <c r="T1061" s="19">
        <v>0</v>
      </c>
      <c r="U1061" s="19">
        <v>2.4951314951314898</v>
      </c>
      <c r="V1061" s="20">
        <v>0</v>
      </c>
      <c r="W1061" s="20">
        <v>-1</v>
      </c>
      <c r="Z1061" s="15">
        <v>101</v>
      </c>
      <c r="AD1061" s="1">
        <v>2.2339015151515098</v>
      </c>
      <c r="AE1061" s="22" t="s">
        <v>94</v>
      </c>
      <c r="AF1061" s="22"/>
    </row>
    <row r="1062" spans="1:32" x14ac:dyDescent="0.2">
      <c r="A1062" s="1">
        <v>1244</v>
      </c>
      <c r="D1062" s="1" t="s">
        <v>9</v>
      </c>
      <c r="E1062" s="1" t="s">
        <v>25</v>
      </c>
      <c r="F1062" s="15">
        <v>0.5</v>
      </c>
      <c r="G1062" s="15">
        <v>0</v>
      </c>
      <c r="H1062" s="15">
        <v>0.9</v>
      </c>
      <c r="I1062" s="15">
        <f t="shared" si="71"/>
        <v>0.5</v>
      </c>
      <c r="O1062" s="18">
        <v>21</v>
      </c>
      <c r="Q1062" s="66" t="s">
        <v>2</v>
      </c>
      <c r="R1062" s="20" t="str">
        <f t="shared" si="68"/>
        <v>horizontal</v>
      </c>
      <c r="S1062" s="35">
        <v>0</v>
      </c>
      <c r="T1062" s="19">
        <v>0</v>
      </c>
      <c r="U1062" s="19">
        <v>3.9215351715350599E-3</v>
      </c>
      <c r="V1062" s="20">
        <v>0</v>
      </c>
      <c r="W1062" s="20">
        <v>-1</v>
      </c>
      <c r="Z1062" s="15">
        <v>101</v>
      </c>
      <c r="AD1062" s="1">
        <v>2.1818181818181799</v>
      </c>
      <c r="AE1062" s="22" t="s">
        <v>94</v>
      </c>
      <c r="AF1062" s="22"/>
    </row>
    <row r="1063" spans="1:32" x14ac:dyDescent="0.2">
      <c r="A1063" s="1">
        <v>1245</v>
      </c>
      <c r="D1063" s="1" t="s">
        <v>9</v>
      </c>
      <c r="E1063" s="1" t="s">
        <v>25</v>
      </c>
      <c r="F1063" s="15">
        <v>0.5</v>
      </c>
      <c r="G1063" s="15">
        <v>0</v>
      </c>
      <c r="H1063" s="15">
        <v>0.9</v>
      </c>
      <c r="I1063" s="15">
        <f t="shared" ref="I1063:I1072" si="72">F1063</f>
        <v>0.5</v>
      </c>
      <c r="O1063" s="18">
        <v>21</v>
      </c>
      <c r="Q1063" s="66" t="s">
        <v>2</v>
      </c>
      <c r="R1063" s="20" t="str">
        <f t="shared" si="68"/>
        <v>horizontal</v>
      </c>
      <c r="S1063" s="35">
        <v>0</v>
      </c>
      <c r="T1063" s="19">
        <v>0</v>
      </c>
      <c r="U1063" s="19">
        <v>0.29881301756301698</v>
      </c>
      <c r="V1063" s="20">
        <v>0</v>
      </c>
      <c r="W1063" s="20">
        <v>-1</v>
      </c>
      <c r="Z1063" s="15">
        <v>101</v>
      </c>
      <c r="AD1063" s="1">
        <v>2.32386363636363</v>
      </c>
      <c r="AE1063" s="22" t="s">
        <v>94</v>
      </c>
      <c r="AF1063" s="22"/>
    </row>
    <row r="1064" spans="1:32" x14ac:dyDescent="0.2">
      <c r="A1064" s="1">
        <v>1246</v>
      </c>
      <c r="D1064" s="1" t="s">
        <v>9</v>
      </c>
      <c r="E1064" s="1" t="s">
        <v>25</v>
      </c>
      <c r="F1064" s="15">
        <v>0.5</v>
      </c>
      <c r="G1064" s="15">
        <v>0</v>
      </c>
      <c r="H1064" s="15">
        <v>0.9</v>
      </c>
      <c r="I1064" s="15">
        <f t="shared" si="72"/>
        <v>0.5</v>
      </c>
      <c r="O1064" s="18">
        <v>21</v>
      </c>
      <c r="Q1064" s="66" t="s">
        <v>2</v>
      </c>
      <c r="R1064" s="20" t="str">
        <f t="shared" si="68"/>
        <v>horizontal</v>
      </c>
      <c r="S1064" s="35">
        <v>0</v>
      </c>
      <c r="T1064" s="19">
        <v>0</v>
      </c>
      <c r="U1064" s="19">
        <v>0.60361782236782202</v>
      </c>
      <c r="V1064" s="20">
        <v>0</v>
      </c>
      <c r="W1064" s="20">
        <v>-1</v>
      </c>
      <c r="Z1064" s="15">
        <v>101</v>
      </c>
      <c r="AD1064" s="1">
        <v>2.32386363636363</v>
      </c>
      <c r="AE1064" s="22" t="s">
        <v>94</v>
      </c>
      <c r="AF1064" s="22"/>
    </row>
    <row r="1065" spans="1:32" x14ac:dyDescent="0.2">
      <c r="A1065" s="1">
        <v>1247</v>
      </c>
      <c r="D1065" s="1" t="s">
        <v>9</v>
      </c>
      <c r="E1065" s="1" t="s">
        <v>25</v>
      </c>
      <c r="F1065" s="15">
        <v>0.5</v>
      </c>
      <c r="G1065" s="15">
        <v>0</v>
      </c>
      <c r="H1065" s="15">
        <v>0.9</v>
      </c>
      <c r="I1065" s="15">
        <f t="shared" si="72"/>
        <v>0.5</v>
      </c>
      <c r="O1065" s="18">
        <v>21</v>
      </c>
      <c r="Q1065" s="66" t="s">
        <v>2</v>
      </c>
      <c r="R1065" s="20" t="str">
        <f t="shared" si="68"/>
        <v>horizontal</v>
      </c>
      <c r="S1065" s="35">
        <v>0</v>
      </c>
      <c r="T1065" s="19">
        <v>0</v>
      </c>
      <c r="U1065" s="19">
        <v>0.89815099190099201</v>
      </c>
      <c r="V1065" s="20">
        <v>0</v>
      </c>
      <c r="W1065" s="20">
        <v>-1</v>
      </c>
      <c r="Z1065" s="15">
        <v>101</v>
      </c>
      <c r="AD1065" s="1">
        <v>2.3806818181818099</v>
      </c>
      <c r="AE1065" s="22" t="s">
        <v>94</v>
      </c>
      <c r="AF1065" s="22"/>
    </row>
    <row r="1066" spans="1:32" x14ac:dyDescent="0.2">
      <c r="A1066" s="1">
        <v>1248</v>
      </c>
      <c r="D1066" s="1" t="s">
        <v>9</v>
      </c>
      <c r="E1066" s="1" t="s">
        <v>25</v>
      </c>
      <c r="F1066" s="15">
        <v>0.5</v>
      </c>
      <c r="G1066" s="15">
        <v>0</v>
      </c>
      <c r="H1066" s="15">
        <v>0.9</v>
      </c>
      <c r="I1066" s="15">
        <f t="shared" si="72"/>
        <v>0.5</v>
      </c>
      <c r="O1066" s="18">
        <v>21</v>
      </c>
      <c r="Q1066" s="66" t="s">
        <v>2</v>
      </c>
      <c r="R1066" s="20" t="str">
        <f t="shared" si="68"/>
        <v>horizontal</v>
      </c>
      <c r="S1066" s="35">
        <v>0</v>
      </c>
      <c r="T1066" s="19">
        <v>0</v>
      </c>
      <c r="U1066" s="19">
        <v>1.20285626535626</v>
      </c>
      <c r="V1066" s="20">
        <v>0</v>
      </c>
      <c r="W1066" s="20">
        <v>-1</v>
      </c>
      <c r="Z1066" s="15">
        <v>101</v>
      </c>
      <c r="AD1066" s="1">
        <v>2.3570075757575699</v>
      </c>
      <c r="AE1066" s="22" t="s">
        <v>94</v>
      </c>
      <c r="AF1066" s="22"/>
    </row>
    <row r="1067" spans="1:32" x14ac:dyDescent="0.2">
      <c r="A1067" s="1">
        <v>1249</v>
      </c>
      <c r="D1067" s="1" t="s">
        <v>9</v>
      </c>
      <c r="E1067" s="1" t="s">
        <v>25</v>
      </c>
      <c r="F1067" s="15">
        <v>0.5</v>
      </c>
      <c r="G1067" s="15">
        <v>0</v>
      </c>
      <c r="H1067" s="15">
        <v>0.9</v>
      </c>
      <c r="I1067" s="15">
        <f t="shared" si="72"/>
        <v>0.5</v>
      </c>
      <c r="O1067" s="18">
        <v>21</v>
      </c>
      <c r="Q1067" s="65" t="s">
        <v>2</v>
      </c>
      <c r="R1067" s="20" t="str">
        <f t="shared" si="68"/>
        <v>horizontal</v>
      </c>
      <c r="S1067" s="35">
        <v>0</v>
      </c>
      <c r="T1067" s="19">
        <v>0</v>
      </c>
      <c r="U1067" s="19">
        <v>1.4961154336154299</v>
      </c>
      <c r="V1067" s="20">
        <v>0</v>
      </c>
      <c r="W1067" s="20">
        <v>-1</v>
      </c>
      <c r="Z1067" s="15">
        <v>101</v>
      </c>
      <c r="AD1067" s="1">
        <v>2.1107954545454501</v>
      </c>
      <c r="AE1067" s="22" t="s">
        <v>94</v>
      </c>
      <c r="AF1067" s="22"/>
    </row>
    <row r="1068" spans="1:32" x14ac:dyDescent="0.2">
      <c r="A1068" s="1">
        <v>1250</v>
      </c>
      <c r="D1068" s="1" t="s">
        <v>9</v>
      </c>
      <c r="E1068" s="1" t="s">
        <v>25</v>
      </c>
      <c r="F1068" s="15">
        <v>0.5</v>
      </c>
      <c r="G1068" s="15">
        <v>0</v>
      </c>
      <c r="H1068" s="15">
        <v>0.9</v>
      </c>
      <c r="I1068" s="15">
        <f t="shared" si="72"/>
        <v>0.5</v>
      </c>
      <c r="O1068" s="18">
        <v>21</v>
      </c>
      <c r="Q1068" s="66" t="s">
        <v>2</v>
      </c>
      <c r="R1068" s="20" t="str">
        <f t="shared" si="68"/>
        <v>horizontal</v>
      </c>
      <c r="S1068" s="35">
        <v>0</v>
      </c>
      <c r="T1068" s="19">
        <v>0</v>
      </c>
      <c r="U1068" s="19">
        <v>1.8008008008008001</v>
      </c>
      <c r="V1068" s="20">
        <v>0</v>
      </c>
      <c r="W1068" s="20">
        <v>-1</v>
      </c>
      <c r="Z1068" s="15">
        <v>101</v>
      </c>
      <c r="AD1068" s="1">
        <v>2.0823863636363602</v>
      </c>
      <c r="AE1068" s="22" t="s">
        <v>94</v>
      </c>
      <c r="AF1068" s="22"/>
    </row>
    <row r="1069" spans="1:32" x14ac:dyDescent="0.2">
      <c r="A1069" s="1">
        <v>1251</v>
      </c>
      <c r="D1069" s="1" t="s">
        <v>9</v>
      </c>
      <c r="E1069" s="1" t="s">
        <v>25</v>
      </c>
      <c r="F1069" s="15">
        <v>0.5</v>
      </c>
      <c r="G1069" s="15">
        <v>0</v>
      </c>
      <c r="H1069" s="15">
        <v>0.9</v>
      </c>
      <c r="I1069" s="15">
        <f t="shared" si="72"/>
        <v>0.5</v>
      </c>
      <c r="O1069" s="18">
        <v>21</v>
      </c>
      <c r="Q1069" s="66" t="s">
        <v>2</v>
      </c>
      <c r="R1069" s="20" t="str">
        <f t="shared" si="68"/>
        <v>horizontal</v>
      </c>
      <c r="S1069" s="35">
        <v>0</v>
      </c>
      <c r="T1069" s="19">
        <v>0</v>
      </c>
      <c r="U1069" s="19">
        <v>2.2004589817089801</v>
      </c>
      <c r="V1069" s="20">
        <v>0</v>
      </c>
      <c r="W1069" s="20">
        <v>-1</v>
      </c>
      <c r="Z1069" s="15">
        <v>101</v>
      </c>
      <c r="AD1069" s="1">
        <v>2.14393939393939</v>
      </c>
      <c r="AE1069" s="22" t="s">
        <v>94</v>
      </c>
      <c r="AF1069" s="22"/>
    </row>
    <row r="1070" spans="1:32" x14ac:dyDescent="0.2">
      <c r="A1070" s="1">
        <v>1252</v>
      </c>
      <c r="D1070" s="1" t="s">
        <v>9</v>
      </c>
      <c r="E1070" s="1" t="s">
        <v>25</v>
      </c>
      <c r="F1070" s="15">
        <v>0.5</v>
      </c>
      <c r="G1070" s="15">
        <v>0</v>
      </c>
      <c r="H1070" s="15">
        <v>0.9</v>
      </c>
      <c r="I1070" s="15">
        <f t="shared" si="72"/>
        <v>0.5</v>
      </c>
      <c r="O1070" s="18">
        <v>21</v>
      </c>
      <c r="Q1070" s="66" t="s">
        <v>2</v>
      </c>
      <c r="R1070" s="20" t="str">
        <f t="shared" si="68"/>
        <v>horizontal</v>
      </c>
      <c r="S1070" s="35">
        <v>0</v>
      </c>
      <c r="T1070" s="19">
        <v>0</v>
      </c>
      <c r="U1070" s="19">
        <v>2.59989819364819</v>
      </c>
      <c r="V1070" s="20">
        <v>0</v>
      </c>
      <c r="W1070" s="20">
        <v>-1</v>
      </c>
      <c r="Z1070" s="15">
        <v>101</v>
      </c>
      <c r="AD1070" s="1">
        <v>2.1534090909090899</v>
      </c>
      <c r="AE1070" s="22" t="s">
        <v>94</v>
      </c>
      <c r="AF1070" s="22"/>
    </row>
    <row r="1071" spans="1:32" x14ac:dyDescent="0.2">
      <c r="A1071" s="1">
        <v>1253</v>
      </c>
      <c r="D1071" s="1" t="s">
        <v>9</v>
      </c>
      <c r="E1071" s="1" t="s">
        <v>25</v>
      </c>
      <c r="F1071" s="15">
        <v>0.5</v>
      </c>
      <c r="G1071" s="15">
        <v>0</v>
      </c>
      <c r="H1071" s="15">
        <v>0.9</v>
      </c>
      <c r="I1071" s="15">
        <f t="shared" si="72"/>
        <v>0.5</v>
      </c>
      <c r="O1071" s="18">
        <v>21</v>
      </c>
      <c r="Q1071" s="66" t="s">
        <v>2</v>
      </c>
      <c r="R1071" s="20" t="str">
        <f t="shared" si="68"/>
        <v>horizontal</v>
      </c>
      <c r="S1071" s="35">
        <v>0</v>
      </c>
      <c r="T1071" s="19">
        <v>0</v>
      </c>
      <c r="U1071" s="19">
        <v>2.9992179679679603</v>
      </c>
      <c r="V1071" s="20">
        <v>0</v>
      </c>
      <c r="W1071" s="20">
        <v>-1</v>
      </c>
      <c r="Z1071" s="15">
        <v>101</v>
      </c>
      <c r="AD1071" s="1">
        <v>2.1344696969696901</v>
      </c>
      <c r="AE1071" s="22" t="s">
        <v>94</v>
      </c>
      <c r="AF1071" s="22"/>
    </row>
    <row r="1072" spans="1:32" x14ac:dyDescent="0.2">
      <c r="A1072" s="1">
        <v>1254</v>
      </c>
      <c r="D1072" s="1" t="s">
        <v>9</v>
      </c>
      <c r="E1072" s="1" t="s">
        <v>25</v>
      </c>
      <c r="F1072" s="15">
        <v>0.5</v>
      </c>
      <c r="G1072" s="15">
        <v>0</v>
      </c>
      <c r="H1072" s="15">
        <v>1.1000000000000001</v>
      </c>
      <c r="I1072" s="15">
        <f t="shared" si="72"/>
        <v>0.5</v>
      </c>
      <c r="O1072" s="18">
        <v>21</v>
      </c>
      <c r="Q1072" s="66" t="s">
        <v>2</v>
      </c>
      <c r="R1072" s="20" t="str">
        <f t="shared" si="68"/>
        <v>horizontal</v>
      </c>
      <c r="S1072" s="35">
        <v>0</v>
      </c>
      <c r="T1072" s="19">
        <v>0</v>
      </c>
      <c r="U1072" s="19">
        <v>2.7470652470650897E-3</v>
      </c>
      <c r="V1072" s="20">
        <v>0</v>
      </c>
      <c r="W1072" s="20">
        <v>-1</v>
      </c>
      <c r="Z1072" s="15">
        <v>101</v>
      </c>
      <c r="AD1072" s="1">
        <v>1.90246212121212</v>
      </c>
      <c r="AE1072" s="22" t="s">
        <v>94</v>
      </c>
      <c r="AF1072" s="22"/>
    </row>
    <row r="1073" spans="1:32" x14ac:dyDescent="0.2">
      <c r="A1073" s="1">
        <v>1255</v>
      </c>
      <c r="D1073" s="1" t="s">
        <v>9</v>
      </c>
      <c r="E1073" s="1" t="s">
        <v>25</v>
      </c>
      <c r="F1073" s="15">
        <v>0.5</v>
      </c>
      <c r="G1073" s="15">
        <v>0</v>
      </c>
      <c r="H1073" s="15">
        <v>1.1000000000000001</v>
      </c>
      <c r="I1073" s="15">
        <f t="shared" ref="I1073:I1106" si="73">F1073</f>
        <v>0.5</v>
      </c>
      <c r="O1073" s="18">
        <v>21</v>
      </c>
      <c r="Q1073" s="66" t="s">
        <v>2</v>
      </c>
      <c r="R1073" s="20" t="str">
        <f t="shared" si="68"/>
        <v>horizontal</v>
      </c>
      <c r="S1073" s="35">
        <v>0</v>
      </c>
      <c r="T1073" s="19">
        <v>0</v>
      </c>
      <c r="U1073" s="19">
        <v>0.40274365274365198</v>
      </c>
      <c r="V1073" s="20">
        <v>0</v>
      </c>
      <c r="W1073" s="20">
        <v>-1</v>
      </c>
      <c r="Z1073" s="15">
        <v>101</v>
      </c>
      <c r="AD1073" s="1">
        <v>2.0445075757575699</v>
      </c>
      <c r="AE1073" s="22" t="s">
        <v>94</v>
      </c>
      <c r="AF1073" s="22"/>
    </row>
    <row r="1074" spans="1:32" x14ac:dyDescent="0.2">
      <c r="A1074" s="1">
        <v>1256</v>
      </c>
      <c r="D1074" s="1" t="s">
        <v>9</v>
      </c>
      <c r="E1074" s="1" t="s">
        <v>25</v>
      </c>
      <c r="F1074" s="15">
        <v>0.5</v>
      </c>
      <c r="G1074" s="15">
        <v>0</v>
      </c>
      <c r="H1074" s="15">
        <v>1.1000000000000001</v>
      </c>
      <c r="I1074" s="15">
        <f t="shared" si="73"/>
        <v>0.5</v>
      </c>
      <c r="O1074" s="18">
        <v>21</v>
      </c>
      <c r="Q1074" s="65" t="s">
        <v>2</v>
      </c>
      <c r="R1074" s="20" t="str">
        <f t="shared" si="68"/>
        <v>horizontal</v>
      </c>
      <c r="S1074" s="35">
        <v>0</v>
      </c>
      <c r="T1074" s="19">
        <v>0</v>
      </c>
      <c r="U1074" s="19">
        <v>0.80242173992173904</v>
      </c>
      <c r="V1074" s="20">
        <v>0</v>
      </c>
      <c r="W1074" s="20">
        <v>-1</v>
      </c>
      <c r="Z1074" s="15">
        <v>101</v>
      </c>
      <c r="AD1074" s="1">
        <v>2.1107954545454501</v>
      </c>
      <c r="AE1074" s="22" t="s">
        <v>94</v>
      </c>
      <c r="AF1074" s="22"/>
    </row>
    <row r="1075" spans="1:32" x14ac:dyDescent="0.2">
      <c r="A1075" s="1">
        <v>1257</v>
      </c>
      <c r="D1075" s="1" t="s">
        <v>9</v>
      </c>
      <c r="E1075" s="1" t="s">
        <v>25</v>
      </c>
      <c r="F1075" s="15">
        <v>0.5</v>
      </c>
      <c r="G1075" s="15">
        <v>0</v>
      </c>
      <c r="H1075" s="15">
        <v>1.1000000000000001</v>
      </c>
      <c r="I1075" s="15">
        <f t="shared" si="73"/>
        <v>0.5</v>
      </c>
      <c r="O1075" s="18">
        <v>21</v>
      </c>
      <c r="Q1075" s="66" t="s">
        <v>2</v>
      </c>
      <c r="R1075" s="20" t="str">
        <f t="shared" si="68"/>
        <v>horizontal</v>
      </c>
      <c r="S1075" s="35">
        <v>0</v>
      </c>
      <c r="T1075" s="19">
        <v>0</v>
      </c>
      <c r="U1075" s="19">
        <v>1.20180123305123</v>
      </c>
      <c r="V1075" s="20">
        <v>0</v>
      </c>
      <c r="W1075" s="20">
        <v>-1</v>
      </c>
      <c r="Z1075" s="15">
        <v>101</v>
      </c>
      <c r="AD1075" s="1">
        <v>2.1060606060606002</v>
      </c>
      <c r="AE1075" s="22" t="s">
        <v>94</v>
      </c>
      <c r="AF1075" s="22"/>
    </row>
    <row r="1076" spans="1:32" x14ac:dyDescent="0.2">
      <c r="A1076" s="1">
        <v>1258</v>
      </c>
      <c r="D1076" s="1" t="s">
        <v>9</v>
      </c>
      <c r="E1076" s="1" t="s">
        <v>25</v>
      </c>
      <c r="F1076" s="15">
        <v>0.5</v>
      </c>
      <c r="G1076" s="15">
        <v>0</v>
      </c>
      <c r="H1076" s="15">
        <v>1.1000000000000001</v>
      </c>
      <c r="I1076" s="15">
        <f t="shared" si="73"/>
        <v>0.5</v>
      </c>
      <c r="O1076" s="18">
        <v>21</v>
      </c>
      <c r="Q1076" s="66" t="s">
        <v>2</v>
      </c>
      <c r="R1076" s="20" t="str">
        <f t="shared" si="68"/>
        <v>horizontal</v>
      </c>
      <c r="S1076" s="35">
        <v>0</v>
      </c>
      <c r="T1076" s="19">
        <v>0</v>
      </c>
      <c r="U1076" s="19">
        <v>1.6008025070525</v>
      </c>
      <c r="V1076" s="20">
        <v>0</v>
      </c>
      <c r="W1076" s="20">
        <v>-1</v>
      </c>
      <c r="Z1076" s="15">
        <v>101</v>
      </c>
      <c r="AD1076" s="1">
        <v>2.01136363636363</v>
      </c>
      <c r="AE1076" s="22" t="s">
        <v>94</v>
      </c>
      <c r="AF1076" s="22"/>
    </row>
    <row r="1077" spans="1:32" x14ac:dyDescent="0.2">
      <c r="A1077" s="1">
        <v>1259</v>
      </c>
      <c r="D1077" s="1" t="s">
        <v>9</v>
      </c>
      <c r="E1077" s="1" t="s">
        <v>25</v>
      </c>
      <c r="F1077" s="15">
        <v>0.5</v>
      </c>
      <c r="G1077" s="15">
        <v>0</v>
      </c>
      <c r="H1077" s="15">
        <v>1.1000000000000001</v>
      </c>
      <c r="I1077" s="15">
        <f t="shared" si="73"/>
        <v>0.5</v>
      </c>
      <c r="O1077" s="18">
        <v>21</v>
      </c>
      <c r="Q1077" s="66" t="s">
        <v>2</v>
      </c>
      <c r="R1077" s="20" t="str">
        <f t="shared" si="68"/>
        <v>horizontal</v>
      </c>
      <c r="S1077" s="35">
        <v>0</v>
      </c>
      <c r="T1077" s="19">
        <v>0</v>
      </c>
      <c r="U1077" s="19">
        <v>2.0001421876421803</v>
      </c>
      <c r="V1077" s="20">
        <v>0</v>
      </c>
      <c r="W1077" s="20">
        <v>-1</v>
      </c>
      <c r="Z1077" s="15">
        <v>101</v>
      </c>
      <c r="AD1077" s="1">
        <v>1.9971590909090899</v>
      </c>
      <c r="AE1077" s="22" t="s">
        <v>94</v>
      </c>
      <c r="AF1077" s="22"/>
    </row>
    <row r="1078" spans="1:32" x14ac:dyDescent="0.2">
      <c r="A1078" s="1">
        <v>1260</v>
      </c>
      <c r="D1078" s="1" t="s">
        <v>9</v>
      </c>
      <c r="E1078" s="1" t="s">
        <v>25</v>
      </c>
      <c r="F1078" s="15">
        <v>0.5</v>
      </c>
      <c r="G1078" s="15">
        <v>0</v>
      </c>
      <c r="H1078" s="15">
        <v>1.1000000000000001</v>
      </c>
      <c r="I1078" s="15">
        <f t="shared" si="73"/>
        <v>0.5</v>
      </c>
      <c r="O1078" s="18">
        <v>21</v>
      </c>
      <c r="Q1078" s="66" t="s">
        <v>2</v>
      </c>
      <c r="R1078" s="20" t="str">
        <f t="shared" si="68"/>
        <v>horizontal</v>
      </c>
      <c r="S1078" s="35">
        <v>0</v>
      </c>
      <c r="T1078" s="19">
        <v>0</v>
      </c>
      <c r="U1078" s="19">
        <v>2.29421751296751</v>
      </c>
      <c r="V1078" s="20">
        <v>0</v>
      </c>
      <c r="W1078" s="20">
        <v>-1</v>
      </c>
      <c r="Z1078" s="15">
        <v>101</v>
      </c>
      <c r="AD1078" s="1">
        <v>1.94507575757575</v>
      </c>
      <c r="AE1078" s="22" t="s">
        <v>94</v>
      </c>
      <c r="AF1078" s="22"/>
    </row>
    <row r="1079" spans="1:32" x14ac:dyDescent="0.2">
      <c r="A1079" s="1">
        <v>1261</v>
      </c>
      <c r="D1079" s="1" t="s">
        <v>9</v>
      </c>
      <c r="E1079" s="1" t="s">
        <v>25</v>
      </c>
      <c r="F1079" s="15">
        <v>0.5</v>
      </c>
      <c r="G1079" s="15">
        <v>0</v>
      </c>
      <c r="H1079" s="15">
        <v>1.1000000000000001</v>
      </c>
      <c r="I1079" s="15">
        <f t="shared" si="73"/>
        <v>0.5</v>
      </c>
      <c r="O1079" s="18">
        <v>21</v>
      </c>
      <c r="Q1079" s="65" t="s">
        <v>2</v>
      </c>
      <c r="R1079" s="20" t="str">
        <f t="shared" si="68"/>
        <v>horizontal</v>
      </c>
      <c r="S1079" s="35">
        <v>0</v>
      </c>
      <c r="T1079" s="19">
        <v>0</v>
      </c>
      <c r="U1079" s="19">
        <v>2.59876353626353</v>
      </c>
      <c r="V1079" s="20">
        <v>0</v>
      </c>
      <c r="W1079" s="20">
        <v>-1</v>
      </c>
      <c r="Z1079" s="15">
        <v>101</v>
      </c>
      <c r="AD1079" s="1">
        <v>1.88352272727272</v>
      </c>
      <c r="AE1079" s="22" t="s">
        <v>94</v>
      </c>
      <c r="AF1079" s="22"/>
    </row>
    <row r="1080" spans="1:32" x14ac:dyDescent="0.2">
      <c r="A1080" s="1">
        <v>1262</v>
      </c>
      <c r="D1080" s="1" t="s">
        <v>9</v>
      </c>
      <c r="E1080" s="1" t="s">
        <v>25</v>
      </c>
      <c r="F1080" s="15">
        <v>0.5</v>
      </c>
      <c r="G1080" s="15">
        <v>0</v>
      </c>
      <c r="H1080" s="15">
        <v>1.1000000000000001</v>
      </c>
      <c r="I1080" s="15">
        <f t="shared" si="73"/>
        <v>0.5</v>
      </c>
      <c r="O1080" s="18">
        <v>21</v>
      </c>
      <c r="Q1080" s="66" t="s">
        <v>2</v>
      </c>
      <c r="R1080" s="20" t="str">
        <f t="shared" si="68"/>
        <v>horizontal</v>
      </c>
      <c r="S1080" s="35">
        <v>0</v>
      </c>
      <c r="T1080" s="19">
        <v>0</v>
      </c>
      <c r="U1080" s="19">
        <v>2.8933365183365103</v>
      </c>
      <c r="V1080" s="20">
        <v>0</v>
      </c>
      <c r="W1080" s="20">
        <v>-1</v>
      </c>
      <c r="Z1080" s="15">
        <v>101</v>
      </c>
      <c r="AD1080" s="1">
        <v>1.9498106060606</v>
      </c>
      <c r="AE1080" s="22" t="s">
        <v>94</v>
      </c>
      <c r="AF1080" s="22"/>
    </row>
    <row r="1081" spans="1:32" x14ac:dyDescent="0.2">
      <c r="A1081" s="1">
        <v>1263</v>
      </c>
      <c r="D1081" s="1" t="s">
        <v>9</v>
      </c>
      <c r="E1081" s="1" t="s">
        <v>25</v>
      </c>
      <c r="F1081" s="15">
        <v>0.5</v>
      </c>
      <c r="G1081" s="15">
        <v>0</v>
      </c>
      <c r="H1081" s="15">
        <v>1.1000000000000001</v>
      </c>
      <c r="I1081" s="15">
        <f t="shared" si="73"/>
        <v>0.5</v>
      </c>
      <c r="O1081" s="18">
        <v>21</v>
      </c>
      <c r="Q1081" s="66" t="s">
        <v>2</v>
      </c>
      <c r="R1081" s="20" t="str">
        <f t="shared" si="68"/>
        <v>horizontal</v>
      </c>
      <c r="S1081" s="35">
        <v>0</v>
      </c>
      <c r="T1081" s="19">
        <v>0</v>
      </c>
      <c r="U1081" s="19">
        <v>3.19782282282282</v>
      </c>
      <c r="V1081" s="20">
        <v>0</v>
      </c>
      <c r="W1081" s="20">
        <v>-1</v>
      </c>
      <c r="Z1081" s="15">
        <v>101</v>
      </c>
      <c r="AD1081" s="1">
        <v>1.8740530303030201</v>
      </c>
      <c r="AE1081" s="22" t="s">
        <v>94</v>
      </c>
      <c r="AF1081" s="22"/>
    </row>
    <row r="1082" spans="1:32" x14ac:dyDescent="0.2">
      <c r="A1082" s="1">
        <v>1264</v>
      </c>
      <c r="D1082" s="1" t="s">
        <v>9</v>
      </c>
      <c r="E1082" s="1" t="s">
        <v>25</v>
      </c>
      <c r="F1082" s="15">
        <v>0.5</v>
      </c>
      <c r="G1082" s="15">
        <v>0</v>
      </c>
      <c r="H1082" s="15">
        <v>1.1000000000000001</v>
      </c>
      <c r="I1082" s="15">
        <f t="shared" si="73"/>
        <v>0.5</v>
      </c>
      <c r="O1082" s="18">
        <v>21</v>
      </c>
      <c r="Q1082" s="66" t="s">
        <v>2</v>
      </c>
      <c r="R1082" s="20" t="str">
        <f t="shared" si="68"/>
        <v>horizontal</v>
      </c>
      <c r="S1082" s="35">
        <v>0</v>
      </c>
      <c r="T1082" s="19">
        <v>0</v>
      </c>
      <c r="U1082" s="19">
        <v>3.7970214532714501</v>
      </c>
      <c r="V1082" s="20">
        <v>0</v>
      </c>
      <c r="W1082" s="20">
        <v>-1</v>
      </c>
      <c r="Z1082" s="15">
        <v>101</v>
      </c>
      <c r="AD1082" s="1">
        <v>1.89772727272727</v>
      </c>
      <c r="AE1082" s="22" t="s">
        <v>94</v>
      </c>
      <c r="AF1082" s="22"/>
    </row>
    <row r="1083" spans="1:32" x14ac:dyDescent="0.2">
      <c r="A1083" s="1">
        <v>1265</v>
      </c>
      <c r="D1083" s="1" t="s">
        <v>9</v>
      </c>
      <c r="E1083" s="1" t="s">
        <v>25</v>
      </c>
      <c r="F1083" s="15">
        <v>0.5</v>
      </c>
      <c r="G1083" s="15">
        <v>0</v>
      </c>
      <c r="H1083" s="15">
        <v>1.1000000000000001</v>
      </c>
      <c r="I1083" s="15">
        <f t="shared" si="73"/>
        <v>0.5</v>
      </c>
      <c r="O1083" s="18">
        <v>21</v>
      </c>
      <c r="Q1083" s="66" t="s">
        <v>2</v>
      </c>
      <c r="R1083" s="20" t="str">
        <f t="shared" si="68"/>
        <v>horizontal</v>
      </c>
      <c r="S1083" s="35">
        <v>0</v>
      </c>
      <c r="T1083" s="19">
        <v>0</v>
      </c>
      <c r="U1083" s="19">
        <v>4.3013468013468001</v>
      </c>
      <c r="V1083" s="20">
        <v>0</v>
      </c>
      <c r="W1083" s="20">
        <v>-1</v>
      </c>
      <c r="Z1083" s="15">
        <v>101</v>
      </c>
      <c r="AD1083" s="1">
        <v>1.85511363636363</v>
      </c>
      <c r="AE1083" s="22" t="s">
        <v>94</v>
      </c>
      <c r="AF1083" s="22"/>
    </row>
    <row r="1084" spans="1:32" x14ac:dyDescent="0.2">
      <c r="A1084" s="1">
        <v>1266</v>
      </c>
      <c r="D1084" s="1" t="s">
        <v>9</v>
      </c>
      <c r="E1084" s="1" t="s">
        <v>25</v>
      </c>
      <c r="F1084" s="15">
        <v>0.5</v>
      </c>
      <c r="G1084" s="15">
        <v>0</v>
      </c>
      <c r="H1084" s="15">
        <v>1.1000000000000001</v>
      </c>
      <c r="I1084" s="15">
        <f t="shared" si="73"/>
        <v>0.5</v>
      </c>
      <c r="O1084" s="18">
        <v>21</v>
      </c>
      <c r="Q1084" s="66" t="s">
        <v>2</v>
      </c>
      <c r="R1084" s="20" t="str">
        <f t="shared" si="68"/>
        <v>horizontal</v>
      </c>
      <c r="S1084" s="35">
        <v>0</v>
      </c>
      <c r="T1084" s="19">
        <v>0</v>
      </c>
      <c r="U1084" s="19">
        <v>4.8996894621894596</v>
      </c>
      <c r="V1084" s="20">
        <v>0</v>
      </c>
      <c r="W1084" s="20">
        <v>-1</v>
      </c>
      <c r="Z1084" s="15">
        <v>101</v>
      </c>
      <c r="AD1084" s="1">
        <v>1.67518939393939</v>
      </c>
      <c r="AE1084" s="22" t="s">
        <v>94</v>
      </c>
      <c r="AF1084" s="22"/>
    </row>
    <row r="1085" spans="1:32" s="5" customFormat="1" ht="16" thickBot="1" x14ac:dyDescent="0.25">
      <c r="A1085" s="1">
        <v>1267</v>
      </c>
      <c r="B1085" s="24"/>
      <c r="D1085" s="5" t="s">
        <v>9</v>
      </c>
      <c r="E1085" s="5" t="s">
        <v>25</v>
      </c>
      <c r="F1085" s="25">
        <v>0.5</v>
      </c>
      <c r="G1085" s="25">
        <v>0</v>
      </c>
      <c r="H1085" s="25">
        <v>1.1000000000000001</v>
      </c>
      <c r="I1085" s="25">
        <f t="shared" si="73"/>
        <v>0.5</v>
      </c>
      <c r="J1085" s="26"/>
      <c r="K1085" s="26"/>
      <c r="L1085" s="26"/>
      <c r="M1085" s="27"/>
      <c r="N1085" s="28"/>
      <c r="O1085" s="28">
        <v>21</v>
      </c>
      <c r="P1085" s="29"/>
      <c r="Q1085" s="66" t="s">
        <v>2</v>
      </c>
      <c r="R1085" s="20" t="str">
        <f t="shared" si="68"/>
        <v>horizontal</v>
      </c>
      <c r="S1085" s="30">
        <v>0</v>
      </c>
      <c r="T1085" s="30">
        <v>0</v>
      </c>
      <c r="U1085" s="30">
        <v>5.2042952042952004</v>
      </c>
      <c r="V1085" s="31">
        <v>0</v>
      </c>
      <c r="W1085" s="31">
        <v>-1</v>
      </c>
      <c r="Y1085" s="28"/>
      <c r="Z1085" s="25">
        <v>101</v>
      </c>
      <c r="AA1085" s="26"/>
      <c r="AB1085" s="26"/>
      <c r="AC1085" s="26"/>
      <c r="AD1085" s="5">
        <v>1.6278409090909001</v>
      </c>
      <c r="AE1085" s="33" t="s">
        <v>94</v>
      </c>
      <c r="AF1085" s="22"/>
    </row>
    <row r="1086" spans="1:32" s="3" customFormat="1" x14ac:dyDescent="0.2">
      <c r="A1086" s="1">
        <v>1268</v>
      </c>
      <c r="B1086" s="47"/>
      <c r="D1086" s="3" t="s">
        <v>4</v>
      </c>
      <c r="E1086" s="3" t="s">
        <v>25</v>
      </c>
      <c r="F1086" s="34">
        <v>3.5</v>
      </c>
      <c r="G1086" s="34">
        <v>0</v>
      </c>
      <c r="H1086" s="34">
        <v>8</v>
      </c>
      <c r="I1086" s="34">
        <f t="shared" si="73"/>
        <v>3.5</v>
      </c>
      <c r="J1086" s="48"/>
      <c r="K1086" s="48"/>
      <c r="L1086" s="48"/>
      <c r="M1086" s="49"/>
      <c r="N1086" s="50"/>
      <c r="O1086" s="50">
        <v>21</v>
      </c>
      <c r="P1086" s="51"/>
      <c r="Q1086" s="65" t="s">
        <v>1</v>
      </c>
      <c r="R1086" s="20" t="s">
        <v>137</v>
      </c>
      <c r="S1086" s="35">
        <v>-0.04</v>
      </c>
      <c r="T1086" s="35">
        <v>0</v>
      </c>
      <c r="U1086" s="35">
        <v>0</v>
      </c>
      <c r="V1086" s="36">
        <v>1</v>
      </c>
      <c r="W1086" s="36">
        <v>0</v>
      </c>
      <c r="Y1086" s="50"/>
      <c r="Z1086" s="34">
        <v>101</v>
      </c>
      <c r="AA1086" s="48"/>
      <c r="AB1086" s="48"/>
      <c r="AC1086" s="48"/>
      <c r="AD1086" s="3">
        <v>1.3414826767916399</v>
      </c>
      <c r="AE1086" s="37" t="s">
        <v>95</v>
      </c>
      <c r="AF1086" s="22"/>
    </row>
    <row r="1087" spans="1:32" x14ac:dyDescent="0.2">
      <c r="A1087" s="1">
        <v>1269</v>
      </c>
      <c r="D1087" s="1" t="s">
        <v>4</v>
      </c>
      <c r="E1087" s="1" t="s">
        <v>25</v>
      </c>
      <c r="F1087" s="15">
        <v>5.5</v>
      </c>
      <c r="G1087" s="15">
        <v>0</v>
      </c>
      <c r="H1087" s="15">
        <v>9</v>
      </c>
      <c r="I1087" s="15">
        <f t="shared" si="73"/>
        <v>5.5</v>
      </c>
      <c r="O1087" s="18">
        <v>21</v>
      </c>
      <c r="Q1087" s="66" t="s">
        <v>1</v>
      </c>
      <c r="R1087" s="20" t="str">
        <f t="shared" si="68"/>
        <v>vertical</v>
      </c>
      <c r="S1087" s="19">
        <v>-0.04</v>
      </c>
      <c r="T1087" s="19">
        <v>0</v>
      </c>
      <c r="U1087" s="19">
        <v>0</v>
      </c>
      <c r="V1087" s="20">
        <v>1</v>
      </c>
      <c r="W1087" s="20">
        <v>0</v>
      </c>
      <c r="Z1087" s="15">
        <v>101</v>
      </c>
      <c r="AD1087" s="1">
        <v>1.15633981964878</v>
      </c>
      <c r="AE1087" s="22" t="s">
        <v>95</v>
      </c>
      <c r="AF1087" s="22"/>
    </row>
    <row r="1088" spans="1:32" x14ac:dyDescent="0.2">
      <c r="A1088" s="1">
        <v>1270</v>
      </c>
      <c r="D1088" s="1" t="s">
        <v>5</v>
      </c>
      <c r="E1088" s="1" t="s">
        <v>25</v>
      </c>
      <c r="F1088" s="15">
        <v>3.5</v>
      </c>
      <c r="G1088" s="15">
        <v>3.15</v>
      </c>
      <c r="H1088" s="15">
        <v>8</v>
      </c>
      <c r="I1088" s="15">
        <f t="shared" si="73"/>
        <v>3.5</v>
      </c>
      <c r="O1088" s="18">
        <v>21</v>
      </c>
      <c r="Q1088" s="66" t="s">
        <v>1</v>
      </c>
      <c r="R1088" s="20" t="str">
        <f t="shared" si="68"/>
        <v>vertical</v>
      </c>
      <c r="S1088" s="19">
        <v>-0.04</v>
      </c>
      <c r="T1088" s="19">
        <v>0</v>
      </c>
      <c r="U1088" s="19">
        <v>0</v>
      </c>
      <c r="V1088" s="20">
        <v>1</v>
      </c>
      <c r="W1088" s="20">
        <v>0</v>
      </c>
      <c r="Z1088" s="15">
        <v>101</v>
      </c>
      <c r="AD1088" s="1">
        <v>0.97576839107736102</v>
      </c>
      <c r="AE1088" s="22" t="s">
        <v>95</v>
      </c>
      <c r="AF1088" s="22"/>
    </row>
    <row r="1089" spans="1:32" s="4" customFormat="1" x14ac:dyDescent="0.2">
      <c r="A1089" s="1">
        <v>1271</v>
      </c>
      <c r="B1089" s="52"/>
      <c r="D1089" s="4" t="s">
        <v>5</v>
      </c>
      <c r="E1089" s="4" t="s">
        <v>25</v>
      </c>
      <c r="F1089" s="53">
        <v>5.5</v>
      </c>
      <c r="G1089" s="53">
        <v>5</v>
      </c>
      <c r="H1089" s="53">
        <v>9</v>
      </c>
      <c r="I1089" s="53">
        <f t="shared" si="73"/>
        <v>5.5</v>
      </c>
      <c r="J1089" s="54"/>
      <c r="K1089" s="54"/>
      <c r="L1089" s="54"/>
      <c r="M1089" s="55"/>
      <c r="N1089" s="56"/>
      <c r="O1089" s="56">
        <v>21</v>
      </c>
      <c r="P1089" s="57"/>
      <c r="Q1089" s="66" t="s">
        <v>1</v>
      </c>
      <c r="R1089" s="20" t="str">
        <f t="shared" si="68"/>
        <v>vertical</v>
      </c>
      <c r="S1089" s="58">
        <v>-0.04</v>
      </c>
      <c r="T1089" s="58">
        <v>0</v>
      </c>
      <c r="U1089" s="58">
        <v>0</v>
      </c>
      <c r="V1089" s="59">
        <v>1</v>
      </c>
      <c r="W1089" s="59">
        <v>0</v>
      </c>
      <c r="Y1089" s="56"/>
      <c r="Z1089" s="53">
        <v>101</v>
      </c>
      <c r="AA1089" s="54"/>
      <c r="AB1089" s="54"/>
      <c r="AC1089" s="54"/>
      <c r="AD1089" s="4">
        <v>0.88891124822021805</v>
      </c>
      <c r="AE1089" s="60" t="s">
        <v>95</v>
      </c>
      <c r="AF1089" s="22"/>
    </row>
    <row r="1090" spans="1:32" s="3" customFormat="1" x14ac:dyDescent="0.2">
      <c r="A1090" s="1">
        <v>1272</v>
      </c>
      <c r="B1090" s="47"/>
      <c r="D1090" s="3" t="s">
        <v>4</v>
      </c>
      <c r="E1090" s="3" t="s">
        <v>81</v>
      </c>
      <c r="F1090" s="34">
        <v>3.5</v>
      </c>
      <c r="G1090" s="34">
        <v>0</v>
      </c>
      <c r="H1090" s="34">
        <v>8</v>
      </c>
      <c r="I1090" s="34">
        <f t="shared" si="73"/>
        <v>3.5</v>
      </c>
      <c r="J1090" s="48"/>
      <c r="K1090" s="48"/>
      <c r="L1090" s="48"/>
      <c r="M1090" s="49"/>
      <c r="N1090" s="50"/>
      <c r="O1090" s="50">
        <v>21</v>
      </c>
      <c r="P1090" s="51"/>
      <c r="Q1090" s="66" t="s">
        <v>1</v>
      </c>
      <c r="R1090" s="20" t="str">
        <f t="shared" si="68"/>
        <v>vertical</v>
      </c>
      <c r="S1090" s="35">
        <v>-0.04</v>
      </c>
      <c r="T1090" s="35">
        <v>0</v>
      </c>
      <c r="U1090" s="35">
        <v>0</v>
      </c>
      <c r="V1090" s="36">
        <v>1</v>
      </c>
      <c r="W1090" s="36">
        <v>0</v>
      </c>
      <c r="Y1090" s="50"/>
      <c r="Z1090" s="34">
        <v>101</v>
      </c>
      <c r="AA1090" s="48"/>
      <c r="AB1090" s="48"/>
      <c r="AC1090" s="48"/>
      <c r="AD1090" s="3">
        <v>1.18372093023255</v>
      </c>
      <c r="AE1090" s="37" t="s">
        <v>96</v>
      </c>
      <c r="AF1090" s="22"/>
    </row>
    <row r="1091" spans="1:32" x14ac:dyDescent="0.2">
      <c r="A1091" s="1">
        <v>1273</v>
      </c>
      <c r="D1091" s="1" t="s">
        <v>4</v>
      </c>
      <c r="E1091" s="1" t="s">
        <v>81</v>
      </c>
      <c r="F1091" s="15">
        <v>5.5</v>
      </c>
      <c r="G1091" s="15">
        <v>0</v>
      </c>
      <c r="H1091" s="15">
        <v>9</v>
      </c>
      <c r="I1091" s="15">
        <f t="shared" si="73"/>
        <v>5.5</v>
      </c>
      <c r="O1091" s="18">
        <v>21</v>
      </c>
      <c r="Q1091" s="66" t="s">
        <v>1</v>
      </c>
      <c r="R1091" s="20" t="str">
        <f t="shared" si="68"/>
        <v>vertical</v>
      </c>
      <c r="S1091" s="19">
        <v>-0.04</v>
      </c>
      <c r="T1091" s="19">
        <v>0</v>
      </c>
      <c r="U1091" s="19">
        <v>0</v>
      </c>
      <c r="V1091" s="20">
        <v>1</v>
      </c>
      <c r="W1091" s="20">
        <v>0</v>
      </c>
      <c r="Z1091" s="15">
        <v>101</v>
      </c>
      <c r="AD1091" s="1">
        <v>1.03488372093023</v>
      </c>
      <c r="AE1091" s="22" t="s">
        <v>96</v>
      </c>
      <c r="AF1091" s="22"/>
    </row>
    <row r="1092" spans="1:32" x14ac:dyDescent="0.2">
      <c r="A1092" s="1">
        <v>1274</v>
      </c>
      <c r="D1092" s="1" t="s">
        <v>5</v>
      </c>
      <c r="E1092" s="1" t="s">
        <v>81</v>
      </c>
      <c r="F1092" s="15">
        <v>3.5</v>
      </c>
      <c r="G1092" s="15">
        <v>3.15</v>
      </c>
      <c r="H1092" s="15">
        <v>8</v>
      </c>
      <c r="I1092" s="15">
        <f t="shared" si="73"/>
        <v>3.5</v>
      </c>
      <c r="O1092" s="18">
        <v>21</v>
      </c>
      <c r="Q1092" s="65" t="s">
        <v>1</v>
      </c>
      <c r="R1092" s="20" t="str">
        <f t="shared" ref="R1092:R1155" si="74">R1091</f>
        <v>vertical</v>
      </c>
      <c r="S1092" s="19">
        <v>-0.04</v>
      </c>
      <c r="T1092" s="19">
        <v>0</v>
      </c>
      <c r="U1092" s="19">
        <v>0</v>
      </c>
      <c r="V1092" s="20">
        <v>1</v>
      </c>
      <c r="W1092" s="20">
        <v>0</v>
      </c>
      <c r="Z1092" s="15">
        <v>101</v>
      </c>
      <c r="AD1092" s="1">
        <v>0.9</v>
      </c>
      <c r="AE1092" s="22" t="s">
        <v>96</v>
      </c>
      <c r="AF1092" s="22"/>
    </row>
    <row r="1093" spans="1:32" s="4" customFormat="1" x14ac:dyDescent="0.2">
      <c r="A1093" s="1">
        <v>1275</v>
      </c>
      <c r="B1093" s="52"/>
      <c r="D1093" s="4" t="s">
        <v>5</v>
      </c>
      <c r="E1093" s="4" t="s">
        <v>81</v>
      </c>
      <c r="F1093" s="53">
        <v>5.5</v>
      </c>
      <c r="G1093" s="53">
        <v>5</v>
      </c>
      <c r="H1093" s="53">
        <v>9</v>
      </c>
      <c r="I1093" s="53">
        <f t="shared" si="73"/>
        <v>5.5</v>
      </c>
      <c r="J1093" s="54"/>
      <c r="K1093" s="54"/>
      <c r="L1093" s="54"/>
      <c r="M1093" s="55"/>
      <c r="N1093" s="56"/>
      <c r="O1093" s="56">
        <v>21</v>
      </c>
      <c r="P1093" s="57"/>
      <c r="Q1093" s="66" t="s">
        <v>1</v>
      </c>
      <c r="R1093" s="20" t="str">
        <f t="shared" si="74"/>
        <v>vertical</v>
      </c>
      <c r="S1093" s="58">
        <v>-0.04</v>
      </c>
      <c r="T1093" s="58">
        <v>0</v>
      </c>
      <c r="U1093" s="58">
        <v>0</v>
      </c>
      <c r="V1093" s="59">
        <v>1</v>
      </c>
      <c r="W1093" s="59">
        <v>0</v>
      </c>
      <c r="Y1093" s="56"/>
      <c r="Z1093" s="53">
        <v>101</v>
      </c>
      <c r="AA1093" s="54"/>
      <c r="AB1093" s="54"/>
      <c r="AC1093" s="54"/>
      <c r="AD1093" s="4">
        <v>0.830232558139535</v>
      </c>
      <c r="AE1093" s="60" t="s">
        <v>96</v>
      </c>
      <c r="AF1093" s="22"/>
    </row>
    <row r="1094" spans="1:32" s="3" customFormat="1" x14ac:dyDescent="0.2">
      <c r="A1094" s="1">
        <v>1276</v>
      </c>
      <c r="B1094" s="47"/>
      <c r="D1094" s="3" t="s">
        <v>4</v>
      </c>
      <c r="E1094" s="3" t="s">
        <v>25</v>
      </c>
      <c r="F1094" s="34">
        <v>3.5</v>
      </c>
      <c r="G1094" s="34">
        <v>0</v>
      </c>
      <c r="H1094" s="34">
        <v>8</v>
      </c>
      <c r="I1094" s="34">
        <f t="shared" si="73"/>
        <v>3.5</v>
      </c>
      <c r="J1094" s="48"/>
      <c r="K1094" s="48"/>
      <c r="L1094" s="48"/>
      <c r="M1094" s="49"/>
      <c r="N1094" s="50"/>
      <c r="O1094" s="50">
        <v>19</v>
      </c>
      <c r="P1094" s="51"/>
      <c r="Q1094" s="66" t="s">
        <v>1</v>
      </c>
      <c r="R1094" s="20" t="str">
        <f t="shared" si="74"/>
        <v>vertical</v>
      </c>
      <c r="S1094" s="35">
        <v>-0.04</v>
      </c>
      <c r="T1094" s="35">
        <v>0</v>
      </c>
      <c r="U1094" s="35">
        <v>0</v>
      </c>
      <c r="V1094" s="36">
        <v>1</v>
      </c>
      <c r="W1094" s="36">
        <v>0</v>
      </c>
      <c r="Y1094" s="50"/>
      <c r="Z1094" s="34">
        <v>101</v>
      </c>
      <c r="AA1094" s="48"/>
      <c r="AB1094" s="48"/>
      <c r="AC1094" s="48"/>
      <c r="AD1094" s="3">
        <v>0.96153846153846101</v>
      </c>
      <c r="AE1094" s="37" t="s">
        <v>97</v>
      </c>
      <c r="AF1094" s="22"/>
    </row>
    <row r="1095" spans="1:32" x14ac:dyDescent="0.2">
      <c r="A1095" s="1">
        <v>1277</v>
      </c>
      <c r="D1095" s="1" t="s">
        <v>4</v>
      </c>
      <c r="E1095" s="1" t="s">
        <v>25</v>
      </c>
      <c r="F1095" s="15">
        <v>3.5</v>
      </c>
      <c r="G1095" s="15">
        <v>0</v>
      </c>
      <c r="H1095" s="15">
        <v>8</v>
      </c>
      <c r="I1095" s="15">
        <f t="shared" si="73"/>
        <v>3.5</v>
      </c>
      <c r="O1095" s="18">
        <v>20.002028397565901</v>
      </c>
      <c r="Q1095" s="66" t="s">
        <v>1</v>
      </c>
      <c r="R1095" s="20" t="str">
        <f t="shared" si="74"/>
        <v>vertical</v>
      </c>
      <c r="S1095" s="19">
        <v>-0.04</v>
      </c>
      <c r="T1095" s="19">
        <v>0</v>
      </c>
      <c r="U1095" s="19">
        <v>0</v>
      </c>
      <c r="V1095" s="20">
        <v>1</v>
      </c>
      <c r="W1095" s="20">
        <v>0</v>
      </c>
      <c r="Z1095" s="15">
        <v>101</v>
      </c>
      <c r="AD1095" s="1">
        <v>1.15734265734265</v>
      </c>
      <c r="AE1095" s="22" t="s">
        <v>97</v>
      </c>
      <c r="AF1095" s="22"/>
    </row>
    <row r="1096" spans="1:32" x14ac:dyDescent="0.2">
      <c r="A1096" s="1">
        <v>1278</v>
      </c>
      <c r="D1096" s="1" t="s">
        <v>4</v>
      </c>
      <c r="E1096" s="1" t="s">
        <v>25</v>
      </c>
      <c r="F1096" s="15">
        <v>3.5</v>
      </c>
      <c r="G1096" s="15">
        <v>0</v>
      </c>
      <c r="H1096" s="15">
        <v>8</v>
      </c>
      <c r="I1096" s="15">
        <f t="shared" si="73"/>
        <v>3.5</v>
      </c>
      <c r="O1096" s="18">
        <v>21.004056795131799</v>
      </c>
      <c r="Q1096" s="66" t="s">
        <v>1</v>
      </c>
      <c r="R1096" s="20" t="str">
        <f t="shared" si="74"/>
        <v>vertical</v>
      </c>
      <c r="S1096" s="19">
        <v>-0.04</v>
      </c>
      <c r="T1096" s="19">
        <v>0</v>
      </c>
      <c r="U1096" s="19">
        <v>0</v>
      </c>
      <c r="V1096" s="20">
        <v>1</v>
      </c>
      <c r="W1096" s="20">
        <v>0</v>
      </c>
      <c r="Z1096" s="15">
        <v>101</v>
      </c>
      <c r="AD1096" s="1">
        <v>1.34265734265734</v>
      </c>
      <c r="AE1096" s="22" t="s">
        <v>97</v>
      </c>
      <c r="AF1096" s="22"/>
    </row>
    <row r="1097" spans="1:32" x14ac:dyDescent="0.2">
      <c r="A1097" s="1">
        <v>1279</v>
      </c>
      <c r="D1097" s="1" t="s">
        <v>5</v>
      </c>
      <c r="E1097" s="1" t="s">
        <v>25</v>
      </c>
      <c r="F1097" s="15">
        <v>3.5</v>
      </c>
      <c r="G1097" s="15">
        <v>3.15</v>
      </c>
      <c r="H1097" s="15">
        <v>8</v>
      </c>
      <c r="I1097" s="15">
        <f t="shared" si="73"/>
        <v>3.5</v>
      </c>
      <c r="O1097" s="18">
        <v>19</v>
      </c>
      <c r="Q1097" s="66" t="s">
        <v>1</v>
      </c>
      <c r="R1097" s="20" t="str">
        <f t="shared" si="74"/>
        <v>vertical</v>
      </c>
      <c r="S1097" s="19">
        <v>-0.04</v>
      </c>
      <c r="T1097" s="19">
        <v>0</v>
      </c>
      <c r="U1097" s="19">
        <v>0</v>
      </c>
      <c r="V1097" s="20">
        <v>1</v>
      </c>
      <c r="W1097" s="20">
        <v>0</v>
      </c>
      <c r="Z1097" s="15">
        <v>101</v>
      </c>
      <c r="AD1097" s="1">
        <v>0.44405594405594301</v>
      </c>
      <c r="AE1097" s="22" t="s">
        <v>97</v>
      </c>
      <c r="AF1097" s="22"/>
    </row>
    <row r="1098" spans="1:32" x14ac:dyDescent="0.2">
      <c r="A1098" s="1">
        <v>1280</v>
      </c>
      <c r="D1098" s="1" t="s">
        <v>5</v>
      </c>
      <c r="E1098" s="1" t="s">
        <v>25</v>
      </c>
      <c r="F1098" s="15">
        <v>3.5</v>
      </c>
      <c r="G1098" s="15">
        <v>3.15</v>
      </c>
      <c r="H1098" s="15">
        <v>8</v>
      </c>
      <c r="I1098" s="15">
        <f t="shared" si="73"/>
        <v>3.5</v>
      </c>
      <c r="O1098" s="18">
        <v>20.002028397565901</v>
      </c>
      <c r="Q1098" s="65" t="s">
        <v>1</v>
      </c>
      <c r="R1098" s="20" t="str">
        <f t="shared" si="74"/>
        <v>vertical</v>
      </c>
      <c r="S1098" s="19">
        <v>-0.04</v>
      </c>
      <c r="T1098" s="19">
        <v>0</v>
      </c>
      <c r="U1098" s="19">
        <v>0</v>
      </c>
      <c r="V1098" s="20">
        <v>1</v>
      </c>
      <c r="W1098" s="20">
        <v>0</v>
      </c>
      <c r="Z1098" s="15">
        <v>101</v>
      </c>
      <c r="AD1098" s="1">
        <v>0.79720279720279696</v>
      </c>
      <c r="AE1098" s="22" t="s">
        <v>97</v>
      </c>
      <c r="AF1098" s="22"/>
    </row>
    <row r="1099" spans="1:32" s="4" customFormat="1" x14ac:dyDescent="0.2">
      <c r="A1099" s="1">
        <v>1281</v>
      </c>
      <c r="B1099" s="52"/>
      <c r="D1099" s="4" t="s">
        <v>5</v>
      </c>
      <c r="E1099" s="4" t="s">
        <v>25</v>
      </c>
      <c r="F1099" s="53">
        <v>3.5</v>
      </c>
      <c r="G1099" s="53">
        <v>3.15</v>
      </c>
      <c r="H1099" s="53">
        <v>8</v>
      </c>
      <c r="I1099" s="53">
        <f t="shared" si="73"/>
        <v>3.5</v>
      </c>
      <c r="J1099" s="54"/>
      <c r="K1099" s="54"/>
      <c r="L1099" s="54"/>
      <c r="M1099" s="55"/>
      <c r="N1099" s="56"/>
      <c r="O1099" s="56">
        <v>21</v>
      </c>
      <c r="P1099" s="57"/>
      <c r="Q1099" s="66" t="s">
        <v>1</v>
      </c>
      <c r="R1099" s="20" t="str">
        <f t="shared" si="74"/>
        <v>vertical</v>
      </c>
      <c r="S1099" s="58">
        <v>-0.04</v>
      </c>
      <c r="T1099" s="58">
        <v>0</v>
      </c>
      <c r="U1099" s="58">
        <v>0</v>
      </c>
      <c r="V1099" s="59">
        <v>1</v>
      </c>
      <c r="W1099" s="59">
        <v>0</v>
      </c>
      <c r="Y1099" s="56"/>
      <c r="Z1099" s="53">
        <v>101</v>
      </c>
      <c r="AA1099" s="54"/>
      <c r="AB1099" s="54"/>
      <c r="AC1099" s="54"/>
      <c r="AD1099" s="4">
        <v>0.97902097902097895</v>
      </c>
      <c r="AE1099" s="60" t="s">
        <v>97</v>
      </c>
      <c r="AF1099" s="22"/>
    </row>
    <row r="1100" spans="1:32" s="3" customFormat="1" x14ac:dyDescent="0.2">
      <c r="A1100" s="1">
        <v>1282</v>
      </c>
      <c r="B1100" s="47"/>
      <c r="D1100" s="3" t="s">
        <v>4</v>
      </c>
      <c r="E1100" s="3" t="s">
        <v>81</v>
      </c>
      <c r="F1100" s="34">
        <v>3.5</v>
      </c>
      <c r="G1100" s="34">
        <v>0</v>
      </c>
      <c r="H1100" s="34">
        <v>8</v>
      </c>
      <c r="I1100" s="34">
        <f t="shared" si="73"/>
        <v>3.5</v>
      </c>
      <c r="J1100" s="48"/>
      <c r="K1100" s="48"/>
      <c r="L1100" s="48"/>
      <c r="M1100" s="49"/>
      <c r="N1100" s="50"/>
      <c r="O1100" s="50">
        <v>19.0013649243038</v>
      </c>
      <c r="P1100" s="51"/>
      <c r="Q1100" s="66" t="s">
        <v>1</v>
      </c>
      <c r="R1100" s="20" t="str">
        <f t="shared" si="74"/>
        <v>vertical</v>
      </c>
      <c r="S1100" s="35">
        <v>-0.04</v>
      </c>
      <c r="T1100" s="35">
        <v>0</v>
      </c>
      <c r="U1100" s="35">
        <v>0</v>
      </c>
      <c r="V1100" s="36">
        <v>1</v>
      </c>
      <c r="W1100" s="36">
        <v>0</v>
      </c>
      <c r="Y1100" s="50"/>
      <c r="Z1100" s="34">
        <v>101</v>
      </c>
      <c r="AA1100" s="48"/>
      <c r="AB1100" s="48"/>
      <c r="AC1100" s="48"/>
      <c r="AD1100" s="3">
        <v>0.67437979912030299</v>
      </c>
      <c r="AE1100" s="37" t="s">
        <v>98</v>
      </c>
      <c r="AF1100" s="22"/>
    </row>
    <row r="1101" spans="1:32" x14ac:dyDescent="0.2">
      <c r="A1101" s="1">
        <v>1283</v>
      </c>
      <c r="D1101" s="1" t="s">
        <v>4</v>
      </c>
      <c r="E1101" s="1" t="s">
        <v>81</v>
      </c>
      <c r="F1101" s="15">
        <v>3.5</v>
      </c>
      <c r="G1101" s="15">
        <v>0</v>
      </c>
      <c r="H1101" s="15">
        <v>8</v>
      </c>
      <c r="I1101" s="15">
        <f t="shared" si="73"/>
        <v>3.5</v>
      </c>
      <c r="O1101" s="18">
        <v>19.9998606490893</v>
      </c>
      <c r="Q1101" s="66" t="s">
        <v>1</v>
      </c>
      <c r="R1101" s="20" t="str">
        <f t="shared" si="74"/>
        <v>vertical</v>
      </c>
      <c r="S1101" s="19">
        <v>-0.04</v>
      </c>
      <c r="T1101" s="19">
        <v>0</v>
      </c>
      <c r="U1101" s="19">
        <v>0</v>
      </c>
      <c r="V1101" s="20">
        <v>1</v>
      </c>
      <c r="W1101" s="20">
        <v>0</v>
      </c>
      <c r="Z1101" s="15">
        <v>101</v>
      </c>
      <c r="AD1101" s="1">
        <v>0.935780668812909</v>
      </c>
      <c r="AE1101" s="22" t="s">
        <v>98</v>
      </c>
      <c r="AF1101" s="22"/>
    </row>
    <row r="1102" spans="1:32" x14ac:dyDescent="0.2">
      <c r="A1102" s="1">
        <v>1284</v>
      </c>
      <c r="D1102" s="1" t="s">
        <v>4</v>
      </c>
      <c r="E1102" s="1" t="s">
        <v>81</v>
      </c>
      <c r="F1102" s="15">
        <v>3.5</v>
      </c>
      <c r="G1102" s="15">
        <v>0</v>
      </c>
      <c r="H1102" s="15">
        <v>8</v>
      </c>
      <c r="I1102" s="15">
        <f t="shared" si="73"/>
        <v>3.5</v>
      </c>
      <c r="O1102" s="18">
        <v>20.998334935273199</v>
      </c>
      <c r="Q1102" s="66" t="s">
        <v>1</v>
      </c>
      <c r="R1102" s="20" t="str">
        <f t="shared" si="74"/>
        <v>vertical</v>
      </c>
      <c r="S1102" s="19">
        <v>-0.04</v>
      </c>
      <c r="T1102" s="19">
        <v>0</v>
      </c>
      <c r="U1102" s="19">
        <v>0</v>
      </c>
      <c r="V1102" s="20">
        <v>1</v>
      </c>
      <c r="W1102" s="20">
        <v>0</v>
      </c>
      <c r="Z1102" s="15">
        <v>101</v>
      </c>
      <c r="AD1102" s="1">
        <v>1.18665518510446</v>
      </c>
      <c r="AE1102" s="22" t="s">
        <v>98</v>
      </c>
      <c r="AF1102" s="22"/>
    </row>
    <row r="1103" spans="1:32" x14ac:dyDescent="0.2">
      <c r="A1103" s="1">
        <v>1285</v>
      </c>
      <c r="D1103" s="1" t="s">
        <v>5</v>
      </c>
      <c r="E1103" s="1" t="s">
        <v>81</v>
      </c>
      <c r="F1103" s="15">
        <v>3.5</v>
      </c>
      <c r="G1103" s="15">
        <v>3.15</v>
      </c>
      <c r="H1103" s="15">
        <v>8</v>
      </c>
      <c r="I1103" s="15">
        <f t="shared" si="73"/>
        <v>3.5</v>
      </c>
      <c r="O1103" s="18">
        <v>19.0008075206614</v>
      </c>
      <c r="Q1103" s="66" t="s">
        <v>1</v>
      </c>
      <c r="R1103" s="20" t="str">
        <f t="shared" si="74"/>
        <v>vertical</v>
      </c>
      <c r="S1103" s="19">
        <v>-0.04</v>
      </c>
      <c r="T1103" s="19">
        <v>0</v>
      </c>
      <c r="U1103" s="19">
        <v>0</v>
      </c>
      <c r="V1103" s="20">
        <v>1</v>
      </c>
      <c r="W1103" s="20">
        <v>0</v>
      </c>
      <c r="Z1103" s="15">
        <v>101</v>
      </c>
      <c r="AD1103" s="1">
        <v>0.40069461069286</v>
      </c>
      <c r="AE1103" s="22" t="s">
        <v>98</v>
      </c>
      <c r="AF1103" s="22"/>
    </row>
    <row r="1104" spans="1:32" x14ac:dyDescent="0.2">
      <c r="A1104" s="1">
        <v>1286</v>
      </c>
      <c r="D1104" s="1" t="s">
        <v>5</v>
      </c>
      <c r="E1104" s="1" t="s">
        <v>81</v>
      </c>
      <c r="F1104" s="15">
        <v>3.5</v>
      </c>
      <c r="G1104" s="15">
        <v>3.15</v>
      </c>
      <c r="H1104" s="15">
        <v>8</v>
      </c>
      <c r="I1104" s="15">
        <f t="shared" si="73"/>
        <v>3.5</v>
      </c>
      <c r="O1104" s="18">
        <v>19.9994175846556</v>
      </c>
      <c r="Q1104" s="1" t="s">
        <v>1</v>
      </c>
      <c r="R1104" s="20" t="str">
        <f t="shared" si="74"/>
        <v>vertical</v>
      </c>
      <c r="S1104" s="19">
        <v>-0.04</v>
      </c>
      <c r="T1104" s="19">
        <v>0</v>
      </c>
      <c r="U1104" s="19">
        <v>0</v>
      </c>
      <c r="V1104" s="20">
        <v>1</v>
      </c>
      <c r="W1104" s="20">
        <v>0</v>
      </c>
      <c r="Z1104" s="15">
        <v>101</v>
      </c>
      <c r="AD1104" s="1">
        <v>0.71823603185776197</v>
      </c>
      <c r="AE1104" s="22" t="s">
        <v>98</v>
      </c>
      <c r="AF1104" s="22"/>
    </row>
    <row r="1105" spans="1:32" s="5" customFormat="1" ht="16" thickBot="1" x14ac:dyDescent="0.25">
      <c r="A1105" s="1">
        <v>1287</v>
      </c>
      <c r="B1105" s="24"/>
      <c r="D1105" s="5" t="s">
        <v>5</v>
      </c>
      <c r="E1105" s="5" t="s">
        <v>81</v>
      </c>
      <c r="F1105" s="25">
        <v>3.5</v>
      </c>
      <c r="G1105" s="25">
        <v>3.15</v>
      </c>
      <c r="H1105" s="25">
        <v>8</v>
      </c>
      <c r="I1105" s="25">
        <f t="shared" si="73"/>
        <v>3.5</v>
      </c>
      <c r="J1105" s="26"/>
      <c r="K1105" s="26"/>
      <c r="L1105" s="26"/>
      <c r="M1105" s="27"/>
      <c r="N1105" s="28"/>
      <c r="O1105" s="28">
        <v>20.997606022817799</v>
      </c>
      <c r="P1105" s="29"/>
      <c r="Q1105" s="5" t="s">
        <v>1</v>
      </c>
      <c r="R1105" s="20" t="str">
        <f t="shared" si="74"/>
        <v>vertical</v>
      </c>
      <c r="S1105" s="30">
        <v>-0.04</v>
      </c>
      <c r="T1105" s="30">
        <v>0</v>
      </c>
      <c r="U1105" s="30">
        <v>0</v>
      </c>
      <c r="V1105" s="31">
        <v>1</v>
      </c>
      <c r="W1105" s="31">
        <v>0</v>
      </c>
      <c r="Y1105" s="28"/>
      <c r="Z1105" s="25">
        <v>101</v>
      </c>
      <c r="AA1105" s="26"/>
      <c r="AB1105" s="26"/>
      <c r="AC1105" s="26"/>
      <c r="AD1105" s="5">
        <v>0.82875916946857298</v>
      </c>
      <c r="AE1105" s="33" t="s">
        <v>98</v>
      </c>
      <c r="AF1105" s="22"/>
    </row>
    <row r="1106" spans="1:32" s="3" customFormat="1" x14ac:dyDescent="0.2">
      <c r="A1106" s="1">
        <v>1288</v>
      </c>
      <c r="B1106" s="47"/>
      <c r="D1106" s="3" t="s">
        <v>9</v>
      </c>
      <c r="E1106" s="3" t="s">
        <v>25</v>
      </c>
      <c r="F1106" s="34">
        <v>0.5</v>
      </c>
      <c r="G1106" s="34">
        <v>0</v>
      </c>
      <c r="H1106" s="34">
        <v>1.1000000000000001</v>
      </c>
      <c r="I1106" s="34">
        <f t="shared" si="73"/>
        <v>0.5</v>
      </c>
      <c r="J1106" s="48"/>
      <c r="K1106" s="48"/>
      <c r="L1106" s="48"/>
      <c r="M1106" s="49"/>
      <c r="N1106" s="50"/>
      <c r="O1106" s="50">
        <v>14</v>
      </c>
      <c r="P1106" s="51"/>
      <c r="Q1106" s="65" t="s">
        <v>2</v>
      </c>
      <c r="R1106" s="20" t="s">
        <v>140</v>
      </c>
      <c r="S1106" s="35">
        <v>5.9102490478359304E-2</v>
      </c>
      <c r="T1106" s="35">
        <v>0</v>
      </c>
      <c r="U1106" s="35">
        <v>0</v>
      </c>
      <c r="V1106" s="36">
        <f>(-1)*10^-2</f>
        <v>-0.01</v>
      </c>
      <c r="W1106" s="36">
        <v>0</v>
      </c>
      <c r="Y1106" s="50"/>
      <c r="Z1106" s="34">
        <v>101</v>
      </c>
      <c r="AA1106" s="48"/>
      <c r="AB1106" s="48"/>
      <c r="AC1106" s="48"/>
      <c r="AD1106" s="3">
        <v>1.4336917562723999</v>
      </c>
      <c r="AE1106" s="37" t="s">
        <v>99</v>
      </c>
      <c r="AF1106" s="22"/>
    </row>
    <row r="1107" spans="1:32" x14ac:dyDescent="0.2">
      <c r="A1107" s="1">
        <v>1289</v>
      </c>
      <c r="D1107" s="1" t="s">
        <v>9</v>
      </c>
      <c r="E1107" s="1" t="s">
        <v>25</v>
      </c>
      <c r="F1107" s="15">
        <v>0.5</v>
      </c>
      <c r="G1107" s="15">
        <v>0</v>
      </c>
      <c r="H1107" s="15">
        <v>1.1000000000000001</v>
      </c>
      <c r="I1107" s="15">
        <f t="shared" ref="I1107:I1136" si="75">F1107</f>
        <v>0.5</v>
      </c>
      <c r="O1107" s="18">
        <v>14</v>
      </c>
      <c r="Q1107" s="66" t="s">
        <v>2</v>
      </c>
      <c r="R1107" s="20" t="str">
        <f t="shared" si="74"/>
        <v>microgravedad</v>
      </c>
      <c r="S1107" s="19">
        <v>9.9581179825343008E-2</v>
      </c>
      <c r="T1107" s="19">
        <v>0</v>
      </c>
      <c r="U1107" s="19">
        <v>0</v>
      </c>
      <c r="V1107" s="20">
        <f t="shared" ref="V1107:V1135" si="76">(-1)*10^-2</f>
        <v>-0.01</v>
      </c>
      <c r="W1107" s="20">
        <v>0</v>
      </c>
      <c r="Z1107" s="15">
        <v>101</v>
      </c>
      <c r="AD1107" s="1">
        <v>1.93548387096774</v>
      </c>
      <c r="AE1107" s="22" t="s">
        <v>99</v>
      </c>
      <c r="AF1107" s="22"/>
    </row>
    <row r="1108" spans="1:32" x14ac:dyDescent="0.2">
      <c r="A1108" s="1">
        <v>1290</v>
      </c>
      <c r="D1108" s="1" t="s">
        <v>9</v>
      </c>
      <c r="E1108" s="1" t="s">
        <v>25</v>
      </c>
      <c r="F1108" s="15">
        <v>0.5</v>
      </c>
      <c r="G1108" s="15">
        <v>0</v>
      </c>
      <c r="H1108" s="15">
        <v>1.1000000000000001</v>
      </c>
      <c r="I1108" s="15">
        <f t="shared" si="75"/>
        <v>0.5</v>
      </c>
      <c r="O1108" s="18">
        <v>14</v>
      </c>
      <c r="Q1108" s="66" t="s">
        <v>2</v>
      </c>
      <c r="R1108" s="20" t="str">
        <f t="shared" si="74"/>
        <v>microgravedad</v>
      </c>
      <c r="S1108" s="19">
        <v>0.150359743097223</v>
      </c>
      <c r="T1108" s="19">
        <v>0</v>
      </c>
      <c r="U1108" s="19">
        <v>0</v>
      </c>
      <c r="V1108" s="20">
        <f t="shared" si="76"/>
        <v>-0.01</v>
      </c>
      <c r="W1108" s="20">
        <v>0</v>
      </c>
      <c r="Z1108" s="15">
        <v>101</v>
      </c>
      <c r="AD1108" s="1">
        <v>2.61648745519713</v>
      </c>
      <c r="AE1108" s="22" t="s">
        <v>99</v>
      </c>
      <c r="AF1108" s="22"/>
    </row>
    <row r="1109" spans="1:32" x14ac:dyDescent="0.2">
      <c r="A1109" s="1">
        <v>1291</v>
      </c>
      <c r="D1109" s="1" t="s">
        <v>9</v>
      </c>
      <c r="E1109" s="1" t="s">
        <v>25</v>
      </c>
      <c r="F1109" s="15">
        <v>0.5</v>
      </c>
      <c r="G1109" s="15">
        <v>0</v>
      </c>
      <c r="H1109" s="15">
        <v>1.1000000000000001</v>
      </c>
      <c r="I1109" s="15">
        <f t="shared" si="75"/>
        <v>0.5</v>
      </c>
      <c r="O1109" s="18">
        <v>14</v>
      </c>
      <c r="Q1109" s="66" t="s">
        <v>2</v>
      </c>
      <c r="R1109" s="20" t="str">
        <f t="shared" si="74"/>
        <v>microgravedad</v>
      </c>
      <c r="S1109" s="19">
        <v>0.20078846445804199</v>
      </c>
      <c r="T1109" s="19">
        <v>0</v>
      </c>
      <c r="U1109" s="19">
        <v>0</v>
      </c>
      <c r="V1109" s="20">
        <f t="shared" si="76"/>
        <v>-0.01</v>
      </c>
      <c r="W1109" s="20">
        <v>0</v>
      </c>
      <c r="Z1109" s="15">
        <v>101</v>
      </c>
      <c r="AD1109" s="1">
        <v>3.0465949820788496</v>
      </c>
      <c r="AE1109" s="22" t="s">
        <v>99</v>
      </c>
      <c r="AF1109" s="22"/>
    </row>
    <row r="1110" spans="1:32" x14ac:dyDescent="0.2">
      <c r="A1110" s="1">
        <v>1292</v>
      </c>
      <c r="D1110" s="1" t="s">
        <v>9</v>
      </c>
      <c r="E1110" s="1" t="s">
        <v>25</v>
      </c>
      <c r="F1110" s="15">
        <v>0.5</v>
      </c>
      <c r="G1110" s="15">
        <v>0</v>
      </c>
      <c r="H1110" s="15">
        <v>1.1000000000000001</v>
      </c>
      <c r="I1110" s="15">
        <f t="shared" si="75"/>
        <v>0.5</v>
      </c>
      <c r="O1110" s="18">
        <v>16</v>
      </c>
      <c r="Q1110" s="66" t="s">
        <v>2</v>
      </c>
      <c r="R1110" s="20" t="str">
        <f t="shared" si="74"/>
        <v>microgravedad</v>
      </c>
      <c r="S1110" s="19">
        <v>5.9055624863858604E-2</v>
      </c>
      <c r="T1110" s="19">
        <v>0</v>
      </c>
      <c r="U1110" s="19">
        <v>0</v>
      </c>
      <c r="V1110" s="20">
        <f t="shared" si="76"/>
        <v>-0.01</v>
      </c>
      <c r="W1110" s="20">
        <v>0</v>
      </c>
      <c r="Z1110" s="15">
        <v>101</v>
      </c>
      <c r="AD1110" s="1">
        <v>2.06989247311828</v>
      </c>
      <c r="AE1110" s="22" t="s">
        <v>99</v>
      </c>
      <c r="AF1110" s="22"/>
    </row>
    <row r="1111" spans="1:32" x14ac:dyDescent="0.2">
      <c r="A1111" s="1">
        <v>1293</v>
      </c>
      <c r="D1111" s="1" t="s">
        <v>9</v>
      </c>
      <c r="E1111" s="1" t="s">
        <v>25</v>
      </c>
      <c r="F1111" s="15">
        <v>0.5</v>
      </c>
      <c r="G1111" s="15">
        <v>0</v>
      </c>
      <c r="H1111" s="15">
        <v>1.1000000000000001</v>
      </c>
      <c r="I1111" s="15">
        <f t="shared" si="75"/>
        <v>0.5</v>
      </c>
      <c r="O1111" s="18">
        <v>16</v>
      </c>
      <c r="Q1111" s="66" t="s">
        <v>2</v>
      </c>
      <c r="R1111" s="20" t="str">
        <f t="shared" si="74"/>
        <v>microgravedad</v>
      </c>
      <c r="S1111" s="19">
        <v>9.919503356502099E-2</v>
      </c>
      <c r="T1111" s="19">
        <v>0</v>
      </c>
      <c r="U1111" s="19">
        <v>0</v>
      </c>
      <c r="V1111" s="20">
        <f t="shared" si="76"/>
        <v>-0.01</v>
      </c>
      <c r="W1111" s="20">
        <v>0</v>
      </c>
      <c r="Z1111" s="15">
        <v>101</v>
      </c>
      <c r="AD1111" s="1">
        <v>2.17741935483871</v>
      </c>
      <c r="AE1111" s="22" t="s">
        <v>99</v>
      </c>
      <c r="AF1111" s="22"/>
    </row>
    <row r="1112" spans="1:32" x14ac:dyDescent="0.2">
      <c r="A1112" s="1">
        <v>1294</v>
      </c>
      <c r="D1112" s="1" t="s">
        <v>9</v>
      </c>
      <c r="E1112" s="1" t="s">
        <v>25</v>
      </c>
      <c r="F1112" s="15">
        <v>0.5</v>
      </c>
      <c r="G1112" s="15">
        <v>0</v>
      </c>
      <c r="H1112" s="15">
        <v>1.1000000000000001</v>
      </c>
      <c r="I1112" s="15">
        <f t="shared" si="75"/>
        <v>0.5</v>
      </c>
      <c r="O1112" s="18">
        <v>16</v>
      </c>
      <c r="Q1112" s="66" t="s">
        <v>2</v>
      </c>
      <c r="R1112" s="20" t="str">
        <f t="shared" si="74"/>
        <v>microgravedad</v>
      </c>
      <c r="S1112" s="19">
        <v>0.150359743097223</v>
      </c>
      <c r="T1112" s="19">
        <v>0</v>
      </c>
      <c r="U1112" s="19">
        <v>0</v>
      </c>
      <c r="V1112" s="20">
        <f t="shared" si="76"/>
        <v>-0.01</v>
      </c>
      <c r="W1112" s="20">
        <v>0</v>
      </c>
      <c r="Z1112" s="15">
        <v>101</v>
      </c>
      <c r="AD1112" s="1">
        <v>2.61648745519713</v>
      </c>
      <c r="AE1112" s="22" t="s">
        <v>99</v>
      </c>
      <c r="AF1112" s="22"/>
    </row>
    <row r="1113" spans="1:32" x14ac:dyDescent="0.2">
      <c r="A1113" s="1">
        <v>1295</v>
      </c>
      <c r="D1113" s="1" t="s">
        <v>9</v>
      </c>
      <c r="E1113" s="1" t="s">
        <v>25</v>
      </c>
      <c r="F1113" s="15">
        <v>0.5</v>
      </c>
      <c r="G1113" s="15">
        <v>0</v>
      </c>
      <c r="H1113" s="15">
        <v>1.1000000000000001</v>
      </c>
      <c r="I1113" s="15">
        <f t="shared" si="75"/>
        <v>0.5</v>
      </c>
      <c r="O1113" s="18">
        <v>16</v>
      </c>
      <c r="Q1113" s="65" t="s">
        <v>2</v>
      </c>
      <c r="R1113" s="20" t="str">
        <f t="shared" si="74"/>
        <v>microgravedad</v>
      </c>
      <c r="S1113" s="19">
        <v>0.200427401202664</v>
      </c>
      <c r="T1113" s="19">
        <v>0</v>
      </c>
      <c r="U1113" s="19">
        <v>0</v>
      </c>
      <c r="V1113" s="20">
        <f t="shared" si="76"/>
        <v>-0.01</v>
      </c>
      <c r="W1113" s="20">
        <v>0</v>
      </c>
      <c r="Z1113" s="15">
        <v>101</v>
      </c>
      <c r="AD1113" s="1">
        <v>2.94802867383512</v>
      </c>
      <c r="AE1113" s="22" t="s">
        <v>99</v>
      </c>
      <c r="AF1113" s="22"/>
    </row>
    <row r="1114" spans="1:32" x14ac:dyDescent="0.2">
      <c r="A1114" s="1">
        <v>1296</v>
      </c>
      <c r="D1114" s="1" t="s">
        <v>9</v>
      </c>
      <c r="E1114" s="1" t="s">
        <v>25</v>
      </c>
      <c r="F1114" s="15">
        <v>0.5</v>
      </c>
      <c r="G1114" s="15">
        <v>0</v>
      </c>
      <c r="H1114" s="15">
        <v>1.1000000000000001</v>
      </c>
      <c r="I1114" s="15">
        <f t="shared" si="75"/>
        <v>0.5</v>
      </c>
      <c r="O1114" s="18">
        <v>18</v>
      </c>
      <c r="Q1114" s="66" t="s">
        <v>2</v>
      </c>
      <c r="R1114" s="20" t="str">
        <f t="shared" si="74"/>
        <v>microgravedad</v>
      </c>
      <c r="S1114" s="19">
        <v>5.90549647847812E-2</v>
      </c>
      <c r="T1114" s="19">
        <v>0</v>
      </c>
      <c r="U1114" s="19">
        <v>0</v>
      </c>
      <c r="V1114" s="20">
        <f t="shared" si="76"/>
        <v>-0.01</v>
      </c>
      <c r="W1114" s="20">
        <v>0</v>
      </c>
      <c r="Z1114" s="15">
        <v>101</v>
      </c>
      <c r="AD1114" s="1">
        <v>2.0788530465949799</v>
      </c>
      <c r="AE1114" s="22" t="s">
        <v>99</v>
      </c>
      <c r="AF1114" s="22"/>
    </row>
    <row r="1115" spans="1:32" x14ac:dyDescent="0.2">
      <c r="A1115" s="1">
        <v>1297</v>
      </c>
      <c r="D1115" s="1" t="s">
        <v>9</v>
      </c>
      <c r="E1115" s="1" t="s">
        <v>25</v>
      </c>
      <c r="F1115" s="15">
        <v>0.5</v>
      </c>
      <c r="G1115" s="15">
        <v>0</v>
      </c>
      <c r="H1115" s="15">
        <v>1.1000000000000001</v>
      </c>
      <c r="I1115" s="15">
        <f t="shared" si="75"/>
        <v>0.5</v>
      </c>
      <c r="O1115" s="18">
        <v>18</v>
      </c>
      <c r="Q1115" s="66" t="s">
        <v>2</v>
      </c>
      <c r="R1115" s="20" t="str">
        <f t="shared" si="74"/>
        <v>microgravedad</v>
      </c>
      <c r="S1115" s="19">
        <v>9.9556756899476503E-2</v>
      </c>
      <c r="T1115" s="19">
        <v>0</v>
      </c>
      <c r="U1115" s="19">
        <v>0</v>
      </c>
      <c r="V1115" s="20">
        <f t="shared" si="76"/>
        <v>-0.01</v>
      </c>
      <c r="W1115" s="20">
        <v>0</v>
      </c>
      <c r="Z1115" s="15">
        <v>101</v>
      </c>
      <c r="AD1115" s="1">
        <v>2.2670250896057302</v>
      </c>
      <c r="AE1115" s="22" t="s">
        <v>99</v>
      </c>
      <c r="AF1115" s="22"/>
    </row>
    <row r="1116" spans="1:32" x14ac:dyDescent="0.2">
      <c r="A1116" s="1">
        <v>1298</v>
      </c>
      <c r="D1116" s="1" t="s">
        <v>9</v>
      </c>
      <c r="E1116" s="1" t="s">
        <v>25</v>
      </c>
      <c r="F1116" s="15">
        <v>0.5</v>
      </c>
      <c r="G1116" s="15">
        <v>0</v>
      </c>
      <c r="H1116" s="15">
        <v>1.1000000000000001</v>
      </c>
      <c r="I1116" s="15">
        <f t="shared" si="75"/>
        <v>0.5</v>
      </c>
      <c r="O1116" s="18">
        <v>18</v>
      </c>
      <c r="Q1116" s="66" t="s">
        <v>2</v>
      </c>
      <c r="R1116" s="20" t="str">
        <f t="shared" si="74"/>
        <v>microgravedad</v>
      </c>
      <c r="S1116" s="19">
        <v>0.15036106325537701</v>
      </c>
      <c r="T1116" s="19">
        <v>0</v>
      </c>
      <c r="U1116" s="19">
        <v>0</v>
      </c>
      <c r="V1116" s="20">
        <f t="shared" si="76"/>
        <v>-0.01</v>
      </c>
      <c r="W1116" s="20">
        <v>0</v>
      </c>
      <c r="Z1116" s="15">
        <v>101</v>
      </c>
      <c r="AD1116" s="1">
        <v>2.5985663082437203</v>
      </c>
      <c r="AE1116" s="22" t="s">
        <v>99</v>
      </c>
      <c r="AF1116" s="22"/>
    </row>
    <row r="1117" spans="1:32" x14ac:dyDescent="0.2">
      <c r="A1117" s="1">
        <v>1299</v>
      </c>
      <c r="D1117" s="1" t="s">
        <v>9</v>
      </c>
      <c r="E1117" s="1" t="s">
        <v>25</v>
      </c>
      <c r="F1117" s="15">
        <v>0.5</v>
      </c>
      <c r="G1117" s="15">
        <v>0</v>
      </c>
      <c r="H1117" s="15">
        <v>1.1000000000000001</v>
      </c>
      <c r="I1117" s="15">
        <f t="shared" si="75"/>
        <v>0.5</v>
      </c>
      <c r="O1117" s="18">
        <v>18</v>
      </c>
      <c r="Q1117" s="66" t="s">
        <v>2</v>
      </c>
      <c r="R1117" s="20" t="str">
        <f t="shared" si="74"/>
        <v>microgravedad</v>
      </c>
      <c r="S1117" s="19">
        <v>0.20046898618454401</v>
      </c>
      <c r="T1117" s="19">
        <v>0</v>
      </c>
      <c r="U1117" s="19">
        <v>0</v>
      </c>
      <c r="V1117" s="20">
        <f t="shared" si="76"/>
        <v>-0.01</v>
      </c>
      <c r="W1117" s="20">
        <v>0</v>
      </c>
      <c r="Z1117" s="15">
        <v>101</v>
      </c>
      <c r="AD1117" s="1">
        <v>2.3835125448028598</v>
      </c>
      <c r="AE1117" s="22" t="s">
        <v>99</v>
      </c>
      <c r="AF1117" s="22"/>
    </row>
    <row r="1118" spans="1:32" x14ac:dyDescent="0.2">
      <c r="A1118" s="1">
        <v>1300</v>
      </c>
      <c r="D1118" s="1" t="s">
        <v>9</v>
      </c>
      <c r="E1118" s="1" t="s">
        <v>25</v>
      </c>
      <c r="F1118" s="15">
        <v>0.5</v>
      </c>
      <c r="G1118" s="15">
        <v>0</v>
      </c>
      <c r="H1118" s="15">
        <v>1.1000000000000001</v>
      </c>
      <c r="I1118" s="15">
        <f t="shared" si="75"/>
        <v>0.5</v>
      </c>
      <c r="O1118" s="18">
        <v>20</v>
      </c>
      <c r="Q1118" s="66" t="s">
        <v>2</v>
      </c>
      <c r="R1118" s="20" t="str">
        <f t="shared" si="74"/>
        <v>microgravedad</v>
      </c>
      <c r="S1118" s="19">
        <v>5.9019320514597601E-2</v>
      </c>
      <c r="T1118" s="19">
        <v>0</v>
      </c>
      <c r="U1118" s="19">
        <v>0</v>
      </c>
      <c r="V1118" s="20">
        <f t="shared" si="76"/>
        <v>-0.01</v>
      </c>
      <c r="W1118" s="20">
        <v>0</v>
      </c>
      <c r="Z1118" s="15">
        <v>101</v>
      </c>
      <c r="AD1118" s="1">
        <v>2.5627240143369097</v>
      </c>
      <c r="AE1118" s="22" t="s">
        <v>99</v>
      </c>
      <c r="AF1118" s="22"/>
    </row>
    <row r="1119" spans="1:32" x14ac:dyDescent="0.2">
      <c r="A1119" s="1">
        <v>1301</v>
      </c>
      <c r="D1119" s="1" t="s">
        <v>9</v>
      </c>
      <c r="E1119" s="1" t="s">
        <v>25</v>
      </c>
      <c r="F1119" s="15">
        <v>0.5</v>
      </c>
      <c r="G1119" s="15">
        <v>0</v>
      </c>
      <c r="H1119" s="15">
        <v>1.1000000000000001</v>
      </c>
      <c r="I1119" s="15">
        <f t="shared" si="75"/>
        <v>0.5</v>
      </c>
      <c r="O1119" s="18">
        <v>20</v>
      </c>
      <c r="Q1119" s="66" t="s">
        <v>2</v>
      </c>
      <c r="R1119" s="20" t="str">
        <f t="shared" si="74"/>
        <v>microgravedad</v>
      </c>
      <c r="S1119" s="19">
        <v>9.9548835950546796E-2</v>
      </c>
      <c r="T1119" s="19">
        <v>0</v>
      </c>
      <c r="U1119" s="19">
        <v>0</v>
      </c>
      <c r="V1119" s="20">
        <f t="shared" si="76"/>
        <v>-0.01</v>
      </c>
      <c r="W1119" s="20">
        <v>0</v>
      </c>
      <c r="Z1119" s="15">
        <v>101</v>
      </c>
      <c r="AD1119" s="1">
        <v>2.3745519713261602</v>
      </c>
      <c r="AE1119" s="22" t="s">
        <v>99</v>
      </c>
      <c r="AF1119" s="22"/>
    </row>
    <row r="1120" spans="1:32" x14ac:dyDescent="0.2">
      <c r="A1120" s="1">
        <v>1302</v>
      </c>
      <c r="D1120" s="1" t="s">
        <v>9</v>
      </c>
      <c r="E1120" s="1" t="s">
        <v>25</v>
      </c>
      <c r="F1120" s="15">
        <v>0.5</v>
      </c>
      <c r="G1120" s="15">
        <v>0</v>
      </c>
      <c r="H1120" s="15">
        <v>1.1000000000000001</v>
      </c>
      <c r="I1120" s="15">
        <f t="shared" si="75"/>
        <v>0.5</v>
      </c>
      <c r="O1120" s="18">
        <v>20</v>
      </c>
      <c r="Q1120" s="65" t="s">
        <v>2</v>
      </c>
      <c r="R1120" s="20" t="str">
        <f t="shared" si="74"/>
        <v>microgravedad</v>
      </c>
      <c r="S1120" s="19">
        <v>0.15036172333445499</v>
      </c>
      <c r="T1120" s="19">
        <v>0</v>
      </c>
      <c r="U1120" s="19">
        <v>0</v>
      </c>
      <c r="V1120" s="20">
        <f t="shared" si="76"/>
        <v>-0.01</v>
      </c>
      <c r="W1120" s="20">
        <v>0</v>
      </c>
      <c r="Z1120" s="15">
        <v>101</v>
      </c>
      <c r="AD1120" s="1">
        <v>2.5896057347670198</v>
      </c>
      <c r="AE1120" s="22" t="s">
        <v>99</v>
      </c>
      <c r="AF1120" s="22"/>
    </row>
    <row r="1121" spans="1:32" s="4" customFormat="1" x14ac:dyDescent="0.2">
      <c r="A1121" s="1">
        <v>1303</v>
      </c>
      <c r="B1121" s="52"/>
      <c r="D1121" s="4" t="s">
        <v>9</v>
      </c>
      <c r="E1121" s="4" t="s">
        <v>25</v>
      </c>
      <c r="F1121" s="53">
        <v>0.5</v>
      </c>
      <c r="G1121" s="53">
        <v>0</v>
      </c>
      <c r="H1121" s="53">
        <v>1.1000000000000001</v>
      </c>
      <c r="I1121" s="53">
        <f t="shared" si="75"/>
        <v>0.5</v>
      </c>
      <c r="J1121" s="54"/>
      <c r="K1121" s="54"/>
      <c r="L1121" s="54"/>
      <c r="M1121" s="55"/>
      <c r="N1121" s="56"/>
      <c r="O1121" s="56">
        <v>20</v>
      </c>
      <c r="P1121" s="57"/>
      <c r="Q1121" s="66" t="s">
        <v>2</v>
      </c>
      <c r="R1121" s="20" t="str">
        <f t="shared" si="74"/>
        <v>microgravedad</v>
      </c>
      <c r="S1121" s="58">
        <v>0.200065677868208</v>
      </c>
      <c r="T1121" s="58">
        <v>0</v>
      </c>
      <c r="U1121" s="58">
        <v>0</v>
      </c>
      <c r="V1121" s="59">
        <f t="shared" si="76"/>
        <v>-0.01</v>
      </c>
      <c r="W1121" s="59">
        <v>0</v>
      </c>
      <c r="Y1121" s="56"/>
      <c r="Z1121" s="53">
        <v>101</v>
      </c>
      <c r="AA1121" s="54"/>
      <c r="AB1121" s="54"/>
      <c r="AC1121" s="54"/>
      <c r="AD1121" s="4">
        <v>2.8584229390681002</v>
      </c>
      <c r="AE1121" s="60" t="s">
        <v>99</v>
      </c>
      <c r="AF1121" s="22"/>
    </row>
    <row r="1122" spans="1:32" x14ac:dyDescent="0.2">
      <c r="A1122" s="1">
        <v>1304</v>
      </c>
      <c r="D1122" s="1" t="s">
        <v>4</v>
      </c>
      <c r="E1122" s="1" t="s">
        <v>25</v>
      </c>
      <c r="F1122" s="15">
        <v>0.5</v>
      </c>
      <c r="G1122" s="15">
        <v>0</v>
      </c>
      <c r="H1122" s="15">
        <v>1.1000000000000001</v>
      </c>
      <c r="I1122" s="15">
        <f t="shared" si="75"/>
        <v>0.5</v>
      </c>
      <c r="O1122" s="18">
        <v>14</v>
      </c>
      <c r="Q1122" s="66" t="s">
        <v>2</v>
      </c>
      <c r="R1122" s="20" t="str">
        <f t="shared" si="74"/>
        <v>microgravedad</v>
      </c>
      <c r="S1122" s="19">
        <v>0.15112851197199501</v>
      </c>
      <c r="T1122" s="19">
        <v>0</v>
      </c>
      <c r="U1122" s="35">
        <v>0</v>
      </c>
      <c r="V1122" s="20">
        <f t="shared" si="76"/>
        <v>-0.01</v>
      </c>
      <c r="W1122" s="20">
        <v>0</v>
      </c>
      <c r="Z1122" s="15">
        <v>101</v>
      </c>
      <c r="AD1122" s="1">
        <v>2.6502732240437101</v>
      </c>
      <c r="AE1122" s="22" t="s">
        <v>100</v>
      </c>
      <c r="AF1122" s="22"/>
    </row>
    <row r="1123" spans="1:32" x14ac:dyDescent="0.2">
      <c r="A1123" s="1">
        <v>1305</v>
      </c>
      <c r="D1123" s="1" t="s">
        <v>4</v>
      </c>
      <c r="E1123" s="1" t="s">
        <v>25</v>
      </c>
      <c r="F1123" s="15">
        <v>0.5</v>
      </c>
      <c r="G1123" s="15">
        <v>0</v>
      </c>
      <c r="H1123" s="15">
        <v>1.1000000000000001</v>
      </c>
      <c r="I1123" s="15">
        <f t="shared" si="75"/>
        <v>0.5</v>
      </c>
      <c r="O1123" s="18">
        <v>14</v>
      </c>
      <c r="Q1123" s="66" t="s">
        <v>2</v>
      </c>
      <c r="R1123" s="20" t="str">
        <f t="shared" si="74"/>
        <v>microgravedad</v>
      </c>
      <c r="S1123" s="19">
        <v>0.20068331450784002</v>
      </c>
      <c r="T1123" s="19">
        <v>0</v>
      </c>
      <c r="U1123" s="19">
        <v>0</v>
      </c>
      <c r="V1123" s="20">
        <f t="shared" si="76"/>
        <v>-0.01</v>
      </c>
      <c r="W1123" s="20">
        <v>0</v>
      </c>
      <c r="Z1123" s="15">
        <v>101</v>
      </c>
      <c r="AD1123" s="1">
        <v>2.9234972677595601</v>
      </c>
      <c r="AE1123" s="22" t="s">
        <v>100</v>
      </c>
      <c r="AF1123" s="22"/>
    </row>
    <row r="1124" spans="1:32" x14ac:dyDescent="0.2">
      <c r="A1124" s="1">
        <v>1306</v>
      </c>
      <c r="D1124" s="1" t="s">
        <v>4</v>
      </c>
      <c r="E1124" s="1" t="s">
        <v>25</v>
      </c>
      <c r="F1124" s="15">
        <v>0.5</v>
      </c>
      <c r="G1124" s="15">
        <v>0</v>
      </c>
      <c r="H1124" s="15">
        <v>1.1000000000000001</v>
      </c>
      <c r="I1124" s="15">
        <f t="shared" si="75"/>
        <v>0.5</v>
      </c>
      <c r="O1124" s="18">
        <v>16</v>
      </c>
      <c r="Q1124" s="66" t="s">
        <v>2</v>
      </c>
      <c r="R1124" s="20" t="str">
        <f t="shared" si="74"/>
        <v>microgravedad</v>
      </c>
      <c r="S1124" s="19">
        <v>5.9418173554083402E-2</v>
      </c>
      <c r="T1124" s="19">
        <v>0</v>
      </c>
      <c r="U1124" s="19">
        <v>0</v>
      </c>
      <c r="V1124" s="20">
        <f t="shared" si="76"/>
        <v>-0.01</v>
      </c>
      <c r="W1124" s="20">
        <v>0</v>
      </c>
      <c r="Z1124" s="15">
        <v>101</v>
      </c>
      <c r="AD1124" s="1">
        <v>1.4389799635701199</v>
      </c>
      <c r="AE1124" s="22" t="s">
        <v>100</v>
      </c>
      <c r="AF1124" s="22"/>
    </row>
    <row r="1125" spans="1:32" x14ac:dyDescent="0.2">
      <c r="A1125" s="1">
        <v>1307</v>
      </c>
      <c r="D1125" s="1" t="s">
        <v>4</v>
      </c>
      <c r="E1125" s="1" t="s">
        <v>25</v>
      </c>
      <c r="F1125" s="15">
        <v>0.5</v>
      </c>
      <c r="G1125" s="15">
        <v>0</v>
      </c>
      <c r="H1125" s="15">
        <v>1.1000000000000001</v>
      </c>
      <c r="I1125" s="15">
        <f t="shared" si="75"/>
        <v>0.5</v>
      </c>
      <c r="O1125" s="18">
        <v>16</v>
      </c>
      <c r="Q1125" s="66" t="s">
        <v>2</v>
      </c>
      <c r="R1125" s="20" t="str">
        <f t="shared" si="74"/>
        <v>microgravedad</v>
      </c>
      <c r="S1125" s="19">
        <v>9.9758999772737195E-2</v>
      </c>
      <c r="T1125" s="19">
        <v>0</v>
      </c>
      <c r="U1125" s="19">
        <v>0</v>
      </c>
      <c r="V1125" s="20">
        <f t="shared" si="76"/>
        <v>-0.01</v>
      </c>
      <c r="W1125" s="20">
        <v>0</v>
      </c>
      <c r="Z1125" s="15">
        <v>101</v>
      </c>
      <c r="AD1125" s="1">
        <v>3.0145719489981699</v>
      </c>
      <c r="AE1125" s="22" t="s">
        <v>100</v>
      </c>
      <c r="AF1125" s="22"/>
    </row>
    <row r="1126" spans="1:32" x14ac:dyDescent="0.2">
      <c r="A1126" s="1">
        <v>1308</v>
      </c>
      <c r="D1126" s="1" t="s">
        <v>4</v>
      </c>
      <c r="E1126" s="1" t="s">
        <v>25</v>
      </c>
      <c r="F1126" s="15">
        <v>0.5</v>
      </c>
      <c r="G1126" s="15">
        <v>0</v>
      </c>
      <c r="H1126" s="15">
        <v>1.1000000000000001</v>
      </c>
      <c r="I1126" s="15">
        <f t="shared" si="75"/>
        <v>0.5</v>
      </c>
      <c r="O1126" s="18">
        <v>16</v>
      </c>
      <c r="Q1126" s="66" t="s">
        <v>2</v>
      </c>
      <c r="R1126" s="20" t="str">
        <f t="shared" si="74"/>
        <v>microgravedad</v>
      </c>
      <c r="S1126" s="19">
        <v>0.15119228120876602</v>
      </c>
      <c r="T1126" s="19">
        <v>0</v>
      </c>
      <c r="U1126" s="19">
        <v>0</v>
      </c>
      <c r="V1126" s="20">
        <f t="shared" si="76"/>
        <v>-0.01</v>
      </c>
      <c r="W1126" s="20">
        <v>0</v>
      </c>
      <c r="Z1126" s="15">
        <v>101</v>
      </c>
      <c r="AD1126" s="1">
        <v>3.5063752276867</v>
      </c>
      <c r="AE1126" s="22" t="s">
        <v>100</v>
      </c>
      <c r="AF1126" s="22"/>
    </row>
    <row r="1127" spans="1:32" x14ac:dyDescent="0.2">
      <c r="A1127" s="1">
        <v>1309</v>
      </c>
      <c r="D1127" s="1" t="s">
        <v>4</v>
      </c>
      <c r="E1127" s="1" t="s">
        <v>25</v>
      </c>
      <c r="F1127" s="15">
        <v>0.5</v>
      </c>
      <c r="G1127" s="15">
        <v>0</v>
      </c>
      <c r="H1127" s="15">
        <v>1.1000000000000001</v>
      </c>
      <c r="I1127" s="15">
        <f t="shared" si="75"/>
        <v>0.5</v>
      </c>
      <c r="O1127" s="18">
        <v>16</v>
      </c>
      <c r="Q1127" s="65" t="s">
        <v>2</v>
      </c>
      <c r="R1127" s="20" t="str">
        <f t="shared" si="74"/>
        <v>microgravedad</v>
      </c>
      <c r="S1127" s="19">
        <v>0.20111816643092401</v>
      </c>
      <c r="T1127" s="19">
        <v>0</v>
      </c>
      <c r="U1127" s="19">
        <v>0</v>
      </c>
      <c r="V1127" s="20">
        <f t="shared" si="76"/>
        <v>-0.01</v>
      </c>
      <c r="W1127" s="20">
        <v>0</v>
      </c>
      <c r="Z1127" s="15">
        <v>101</v>
      </c>
      <c r="AD1127" s="1">
        <v>3.76138433515482</v>
      </c>
      <c r="AE1127" s="22" t="s">
        <v>100</v>
      </c>
      <c r="AF1127" s="22"/>
    </row>
    <row r="1128" spans="1:32" x14ac:dyDescent="0.2">
      <c r="A1128" s="1">
        <v>1310</v>
      </c>
      <c r="D1128" s="1" t="s">
        <v>4</v>
      </c>
      <c r="E1128" s="1" t="s">
        <v>25</v>
      </c>
      <c r="F1128" s="15">
        <v>0.5</v>
      </c>
      <c r="G1128" s="15">
        <v>0</v>
      </c>
      <c r="H1128" s="15">
        <v>1.1000000000000001</v>
      </c>
      <c r="I1128" s="15">
        <f t="shared" si="75"/>
        <v>0.5</v>
      </c>
      <c r="O1128" s="18">
        <v>18</v>
      </c>
      <c r="Q1128" s="66" t="s">
        <v>2</v>
      </c>
      <c r="R1128" s="20" t="str">
        <f t="shared" si="74"/>
        <v>microgravedad</v>
      </c>
      <c r="S1128" s="19">
        <v>5.9491440336755803E-2</v>
      </c>
      <c r="T1128" s="19">
        <v>0</v>
      </c>
      <c r="U1128" s="19">
        <v>0</v>
      </c>
      <c r="V1128" s="20">
        <f t="shared" si="76"/>
        <v>-0.01</v>
      </c>
      <c r="W1128" s="20">
        <v>0</v>
      </c>
      <c r="Z1128" s="15">
        <v>101</v>
      </c>
      <c r="AD1128" s="1">
        <v>2.4225865209471698</v>
      </c>
      <c r="AE1128" s="22" t="s">
        <v>100</v>
      </c>
      <c r="AF1128" s="22"/>
    </row>
    <row r="1129" spans="1:32" x14ac:dyDescent="0.2">
      <c r="A1129" s="1">
        <v>1311</v>
      </c>
      <c r="D1129" s="1" t="s">
        <v>4</v>
      </c>
      <c r="E1129" s="1" t="s">
        <v>25</v>
      </c>
      <c r="F1129" s="15">
        <v>0.5</v>
      </c>
      <c r="G1129" s="15">
        <v>0</v>
      </c>
      <c r="H1129" s="15">
        <v>1.1000000000000001</v>
      </c>
      <c r="I1129" s="15">
        <f t="shared" si="75"/>
        <v>0.5</v>
      </c>
      <c r="O1129" s="18">
        <v>18</v>
      </c>
      <c r="Q1129" s="66" t="s">
        <v>2</v>
      </c>
      <c r="R1129" s="20" t="str">
        <f t="shared" si="74"/>
        <v>microgravedad</v>
      </c>
      <c r="S1129" s="19">
        <v>9.9735934304118187E-2</v>
      </c>
      <c r="T1129" s="19">
        <v>0</v>
      </c>
      <c r="U1129" s="19">
        <v>0</v>
      </c>
      <c r="V1129" s="20">
        <f t="shared" si="76"/>
        <v>-0.01</v>
      </c>
      <c r="W1129" s="20">
        <v>0</v>
      </c>
      <c r="Z1129" s="15">
        <v>101</v>
      </c>
      <c r="AD1129" s="1">
        <v>2.70491803278688</v>
      </c>
      <c r="AE1129" s="22" t="s">
        <v>100</v>
      </c>
      <c r="AF1129" s="22"/>
    </row>
    <row r="1130" spans="1:32" x14ac:dyDescent="0.2">
      <c r="A1130" s="1">
        <v>1312</v>
      </c>
      <c r="D1130" s="1" t="s">
        <v>4</v>
      </c>
      <c r="E1130" s="1" t="s">
        <v>25</v>
      </c>
      <c r="F1130" s="15">
        <v>0.5</v>
      </c>
      <c r="G1130" s="15">
        <v>0</v>
      </c>
      <c r="H1130" s="15">
        <v>1.1000000000000001</v>
      </c>
      <c r="I1130" s="15">
        <f t="shared" si="75"/>
        <v>0.5</v>
      </c>
      <c r="O1130" s="18">
        <v>18</v>
      </c>
      <c r="Q1130" s="66" t="s">
        <v>2</v>
      </c>
      <c r="R1130" s="20" t="str">
        <f t="shared" si="74"/>
        <v>microgravedad</v>
      </c>
      <c r="S1130" s="19">
        <v>0.15114886385607101</v>
      </c>
      <c r="T1130" s="19">
        <v>0</v>
      </c>
      <c r="U1130" s="19">
        <v>0</v>
      </c>
      <c r="V1130" s="20">
        <f t="shared" si="76"/>
        <v>-0.01</v>
      </c>
      <c r="W1130" s="20">
        <v>0</v>
      </c>
      <c r="Z1130" s="15">
        <v>101</v>
      </c>
      <c r="AD1130" s="1">
        <v>2.9234972677595601</v>
      </c>
      <c r="AE1130" s="22" t="s">
        <v>100</v>
      </c>
      <c r="AF1130" s="22"/>
    </row>
    <row r="1131" spans="1:32" x14ac:dyDescent="0.2">
      <c r="A1131" s="1">
        <v>1313</v>
      </c>
      <c r="D1131" s="1" t="s">
        <v>4</v>
      </c>
      <c r="E1131" s="1" t="s">
        <v>25</v>
      </c>
      <c r="F1131" s="15">
        <v>0.5</v>
      </c>
      <c r="G1131" s="15">
        <v>0</v>
      </c>
      <c r="H1131" s="15">
        <v>1.1000000000000001</v>
      </c>
      <c r="I1131" s="15">
        <f t="shared" si="75"/>
        <v>0.5</v>
      </c>
      <c r="O1131" s="18">
        <v>18</v>
      </c>
      <c r="Q1131" s="66" t="s">
        <v>2</v>
      </c>
      <c r="R1131" s="20" t="str">
        <f t="shared" si="74"/>
        <v>microgravedad</v>
      </c>
      <c r="S1131" s="19">
        <v>0.20112495039228201</v>
      </c>
      <c r="T1131" s="19">
        <v>0</v>
      </c>
      <c r="U1131" s="19">
        <v>0</v>
      </c>
      <c r="V1131" s="20">
        <f t="shared" si="76"/>
        <v>-0.01</v>
      </c>
      <c r="W1131" s="20">
        <v>0</v>
      </c>
      <c r="Z1131" s="15">
        <v>101</v>
      </c>
      <c r="AD1131" s="1">
        <v>3.85245901639344</v>
      </c>
      <c r="AE1131" s="22" t="s">
        <v>100</v>
      </c>
      <c r="AF1131" s="22"/>
    </row>
    <row r="1132" spans="1:32" x14ac:dyDescent="0.2">
      <c r="A1132" s="1">
        <v>1314</v>
      </c>
      <c r="D1132" s="1" t="s">
        <v>4</v>
      </c>
      <c r="E1132" s="1" t="s">
        <v>25</v>
      </c>
      <c r="F1132" s="15">
        <v>0.5</v>
      </c>
      <c r="G1132" s="15">
        <v>0</v>
      </c>
      <c r="H1132" s="15">
        <v>1.1000000000000001</v>
      </c>
      <c r="I1132" s="15">
        <f t="shared" si="75"/>
        <v>0.5</v>
      </c>
      <c r="O1132" s="18">
        <v>20</v>
      </c>
      <c r="Q1132" s="66" t="s">
        <v>2</v>
      </c>
      <c r="R1132" s="20" t="str">
        <f t="shared" si="74"/>
        <v>microgravedad</v>
      </c>
      <c r="S1132" s="19">
        <v>5.9142066326790206E-2</v>
      </c>
      <c r="T1132" s="19">
        <v>0</v>
      </c>
      <c r="U1132" s="19">
        <v>0</v>
      </c>
      <c r="V1132" s="20">
        <f t="shared" si="76"/>
        <v>-0.01</v>
      </c>
      <c r="W1132" s="20">
        <v>0</v>
      </c>
      <c r="Z1132" s="15">
        <v>101</v>
      </c>
      <c r="AD1132" s="1">
        <v>2.7322404371584699</v>
      </c>
      <c r="AE1132" s="22" t="s">
        <v>100</v>
      </c>
      <c r="AF1132" s="22"/>
    </row>
    <row r="1133" spans="1:32" x14ac:dyDescent="0.2">
      <c r="A1133" s="1">
        <v>1315</v>
      </c>
      <c r="D1133" s="1" t="s">
        <v>4</v>
      </c>
      <c r="E1133" s="1" t="s">
        <v>25</v>
      </c>
      <c r="F1133" s="15">
        <v>0.5</v>
      </c>
      <c r="G1133" s="15">
        <v>0</v>
      </c>
      <c r="H1133" s="15">
        <v>1.1000000000000001</v>
      </c>
      <c r="I1133" s="15">
        <f t="shared" si="75"/>
        <v>0.5</v>
      </c>
      <c r="O1133" s="18">
        <v>20</v>
      </c>
      <c r="Q1133" s="66" t="s">
        <v>2</v>
      </c>
      <c r="R1133" s="20" t="str">
        <f t="shared" si="74"/>
        <v>microgravedad</v>
      </c>
      <c r="S1133" s="19">
        <v>9.9729150342759601E-2</v>
      </c>
      <c r="T1133" s="19">
        <v>0</v>
      </c>
      <c r="U1133" s="19">
        <v>0</v>
      </c>
      <c r="V1133" s="20">
        <f t="shared" si="76"/>
        <v>-0.01</v>
      </c>
      <c r="W1133" s="20">
        <v>0</v>
      </c>
      <c r="Z1133" s="15">
        <v>101</v>
      </c>
      <c r="AD1133" s="1">
        <v>2.6138433515482697</v>
      </c>
      <c r="AE1133" s="22" t="s">
        <v>100</v>
      </c>
      <c r="AF1133" s="22"/>
    </row>
    <row r="1134" spans="1:32" x14ac:dyDescent="0.2">
      <c r="A1134" s="1">
        <v>1316</v>
      </c>
      <c r="D1134" s="1" t="s">
        <v>4</v>
      </c>
      <c r="E1134" s="1" t="s">
        <v>25</v>
      </c>
      <c r="F1134" s="15">
        <v>0.5</v>
      </c>
      <c r="G1134" s="15">
        <v>0</v>
      </c>
      <c r="H1134" s="15">
        <v>1.1000000000000001</v>
      </c>
      <c r="I1134" s="15">
        <f t="shared" si="75"/>
        <v>0.5</v>
      </c>
      <c r="O1134" s="18">
        <v>20</v>
      </c>
      <c r="Q1134" s="65" t="s">
        <v>2</v>
      </c>
      <c r="R1134" s="20" t="str">
        <f t="shared" si="74"/>
        <v>microgravedad</v>
      </c>
      <c r="S1134" s="19">
        <v>0.15078795711179599</v>
      </c>
      <c r="T1134" s="19">
        <v>0</v>
      </c>
      <c r="U1134" s="19">
        <v>0</v>
      </c>
      <c r="V1134" s="20">
        <f t="shared" si="76"/>
        <v>-0.01</v>
      </c>
      <c r="W1134" s="20">
        <v>0</v>
      </c>
      <c r="Z1134" s="15">
        <v>101</v>
      </c>
      <c r="AD1134" s="1">
        <v>3.0783242258652099</v>
      </c>
      <c r="AE1134" s="22" t="s">
        <v>100</v>
      </c>
      <c r="AF1134" s="22"/>
    </row>
    <row r="1135" spans="1:32" s="5" customFormat="1" ht="16" thickBot="1" x14ac:dyDescent="0.25">
      <c r="A1135" s="1">
        <v>1317</v>
      </c>
      <c r="B1135" s="24"/>
      <c r="D1135" s="5" t="s">
        <v>4</v>
      </c>
      <c r="E1135" s="5" t="s">
        <v>25</v>
      </c>
      <c r="F1135" s="25">
        <v>0.5</v>
      </c>
      <c r="G1135" s="25">
        <v>0</v>
      </c>
      <c r="H1135" s="25">
        <v>1.1000000000000001</v>
      </c>
      <c r="I1135" s="25">
        <f t="shared" si="75"/>
        <v>0.5</v>
      </c>
      <c r="J1135" s="26"/>
      <c r="K1135" s="26"/>
      <c r="L1135" s="26"/>
      <c r="M1135" s="27"/>
      <c r="N1135" s="28"/>
      <c r="O1135" s="28">
        <v>20</v>
      </c>
      <c r="P1135" s="29"/>
      <c r="Q1135" s="66" t="s">
        <v>2</v>
      </c>
      <c r="R1135" s="20" t="str">
        <f t="shared" si="74"/>
        <v>microgravedad</v>
      </c>
      <c r="S1135" s="30">
        <v>0.20109917133912</v>
      </c>
      <c r="T1135" s="30">
        <v>0</v>
      </c>
      <c r="U1135" s="30">
        <v>0</v>
      </c>
      <c r="V1135" s="31">
        <f t="shared" si="76"/>
        <v>-0.01</v>
      </c>
      <c r="W1135" s="31">
        <v>0</v>
      </c>
      <c r="Y1135" s="28"/>
      <c r="Z1135" s="25">
        <v>101</v>
      </c>
      <c r="AA1135" s="26"/>
      <c r="AB1135" s="26"/>
      <c r="AC1135" s="26"/>
      <c r="AD1135" s="5">
        <v>3.5063752276867</v>
      </c>
      <c r="AE1135" s="33" t="s">
        <v>100</v>
      </c>
      <c r="AF1135" s="22"/>
    </row>
    <row r="1136" spans="1:32" s="3" customFormat="1" x14ac:dyDescent="0.2">
      <c r="A1136" s="1">
        <v>1318</v>
      </c>
      <c r="B1136" s="47"/>
      <c r="D1136" s="3" t="s">
        <v>9</v>
      </c>
      <c r="E1136" s="3" t="s">
        <v>25</v>
      </c>
      <c r="F1136" s="34">
        <v>0.5</v>
      </c>
      <c r="G1136" s="34">
        <v>0</v>
      </c>
      <c r="H1136" s="34">
        <v>0.8</v>
      </c>
      <c r="I1136" s="34">
        <f t="shared" si="75"/>
        <v>0.5</v>
      </c>
      <c r="J1136" s="48"/>
      <c r="K1136" s="48"/>
      <c r="L1136" s="48"/>
      <c r="M1136" s="49"/>
      <c r="N1136" s="50"/>
      <c r="O1136" s="50">
        <v>17</v>
      </c>
      <c r="P1136" s="51"/>
      <c r="Q1136" s="66" t="s">
        <v>1</v>
      </c>
      <c r="R1136" s="20" t="str">
        <f t="shared" si="74"/>
        <v>microgravedad</v>
      </c>
      <c r="S1136" s="35">
        <v>-0.05</v>
      </c>
      <c r="T1136" s="35">
        <v>0</v>
      </c>
      <c r="U1136" s="35">
        <v>0</v>
      </c>
      <c r="V1136" s="36">
        <v>0</v>
      </c>
      <c r="W1136" s="36">
        <v>-0.01</v>
      </c>
      <c r="Y1136" s="50"/>
      <c r="Z1136" s="34">
        <v>101</v>
      </c>
      <c r="AA1136" s="48"/>
      <c r="AB1136" s="48"/>
      <c r="AC1136" s="48"/>
      <c r="AD1136" s="3">
        <v>0.98823529411764699</v>
      </c>
      <c r="AE1136" s="37" t="s">
        <v>101</v>
      </c>
      <c r="AF1136" s="22"/>
    </row>
    <row r="1137" spans="1:32" x14ac:dyDescent="0.2">
      <c r="A1137" s="1">
        <v>1319</v>
      </c>
      <c r="D1137" s="1" t="s">
        <v>9</v>
      </c>
      <c r="E1137" s="1" t="s">
        <v>25</v>
      </c>
      <c r="F1137" s="15">
        <v>0.5</v>
      </c>
      <c r="G1137" s="15">
        <v>0</v>
      </c>
      <c r="H1137" s="15">
        <v>0.8</v>
      </c>
      <c r="I1137" s="15">
        <f t="shared" ref="I1137:I1152" si="77">F1137</f>
        <v>0.5</v>
      </c>
      <c r="O1137" s="18">
        <v>17</v>
      </c>
      <c r="Q1137" s="66" t="s">
        <v>1</v>
      </c>
      <c r="R1137" s="20" t="str">
        <f t="shared" si="74"/>
        <v>microgravedad</v>
      </c>
      <c r="S1137" s="19">
        <v>-0.15</v>
      </c>
      <c r="T1137" s="19">
        <v>0</v>
      </c>
      <c r="U1137" s="19">
        <v>0</v>
      </c>
      <c r="V1137" s="20">
        <v>0</v>
      </c>
      <c r="W1137" s="20">
        <v>-0.01</v>
      </c>
      <c r="Z1137" s="15">
        <v>101</v>
      </c>
      <c r="AD1137" s="1">
        <v>0.995588235294117</v>
      </c>
      <c r="AE1137" s="22" t="s">
        <v>101</v>
      </c>
      <c r="AF1137" s="22"/>
    </row>
    <row r="1138" spans="1:32" x14ac:dyDescent="0.2">
      <c r="A1138" s="1">
        <v>1320</v>
      </c>
      <c r="D1138" s="1" t="s">
        <v>9</v>
      </c>
      <c r="E1138" s="1" t="s">
        <v>25</v>
      </c>
      <c r="F1138" s="15">
        <v>0.5</v>
      </c>
      <c r="G1138" s="15">
        <v>0</v>
      </c>
      <c r="H1138" s="15">
        <v>0.8</v>
      </c>
      <c r="I1138" s="15">
        <f t="shared" si="77"/>
        <v>0.5</v>
      </c>
      <c r="O1138" s="18">
        <v>17</v>
      </c>
      <c r="Q1138" s="66" t="s">
        <v>1</v>
      </c>
      <c r="R1138" s="20" t="str">
        <f t="shared" si="74"/>
        <v>microgravedad</v>
      </c>
      <c r="S1138" s="19">
        <v>-0.25</v>
      </c>
      <c r="T1138" s="19">
        <v>0</v>
      </c>
      <c r="U1138" s="19">
        <v>0</v>
      </c>
      <c r="V1138" s="20">
        <v>0</v>
      </c>
      <c r="W1138" s="20">
        <v>-0.01</v>
      </c>
      <c r="Z1138" s="15">
        <v>101</v>
      </c>
      <c r="AD1138" s="1">
        <v>0.98676470588235299</v>
      </c>
      <c r="AE1138" s="22" t="s">
        <v>101</v>
      </c>
      <c r="AF1138" s="22"/>
    </row>
    <row r="1139" spans="1:32" s="5" customFormat="1" ht="16" thickBot="1" x14ac:dyDescent="0.25">
      <c r="A1139" s="1">
        <v>1321</v>
      </c>
      <c r="B1139" s="24"/>
      <c r="D1139" s="5" t="s">
        <v>9</v>
      </c>
      <c r="E1139" s="5" t="s">
        <v>25</v>
      </c>
      <c r="F1139" s="25">
        <v>0.5</v>
      </c>
      <c r="G1139" s="25">
        <v>0</v>
      </c>
      <c r="H1139" s="25">
        <v>0.8</v>
      </c>
      <c r="I1139" s="25">
        <f t="shared" si="77"/>
        <v>0.5</v>
      </c>
      <c r="J1139" s="26"/>
      <c r="K1139" s="26"/>
      <c r="L1139" s="26"/>
      <c r="M1139" s="27"/>
      <c r="N1139" s="28"/>
      <c r="O1139" s="28">
        <v>17</v>
      </c>
      <c r="P1139" s="29"/>
      <c r="Q1139" s="66" t="s">
        <v>1</v>
      </c>
      <c r="R1139" s="20" t="str">
        <f t="shared" si="74"/>
        <v>microgravedad</v>
      </c>
      <c r="S1139" s="30">
        <v>-0.25</v>
      </c>
      <c r="T1139" s="30">
        <v>0</v>
      </c>
      <c r="U1139" s="30">
        <v>0</v>
      </c>
      <c r="V1139" s="31">
        <v>0</v>
      </c>
      <c r="W1139" s="31">
        <v>-0.01</v>
      </c>
      <c r="Y1139" s="28"/>
      <c r="Z1139" s="25">
        <v>101</v>
      </c>
      <c r="AA1139" s="26"/>
      <c r="AB1139" s="26"/>
      <c r="AC1139" s="26"/>
      <c r="AD1139" s="5">
        <v>0.88529411764705801</v>
      </c>
      <c r="AE1139" s="33" t="s">
        <v>101</v>
      </c>
      <c r="AF1139" s="22"/>
    </row>
    <row r="1140" spans="1:32" s="3" customFormat="1" x14ac:dyDescent="0.2">
      <c r="A1140" s="1">
        <v>1322</v>
      </c>
      <c r="B1140" s="47"/>
      <c r="D1140" s="3" t="s">
        <v>4</v>
      </c>
      <c r="E1140" s="3" t="s">
        <v>25</v>
      </c>
      <c r="F1140" s="34">
        <v>0.3</v>
      </c>
      <c r="G1140" s="34">
        <v>0</v>
      </c>
      <c r="H1140" s="34">
        <v>0.6</v>
      </c>
      <c r="I1140" s="34">
        <f t="shared" si="77"/>
        <v>0.3</v>
      </c>
      <c r="J1140" s="48"/>
      <c r="K1140" s="48"/>
      <c r="L1140" s="48"/>
      <c r="M1140" s="49"/>
      <c r="N1140" s="50"/>
      <c r="O1140" s="50">
        <v>21</v>
      </c>
      <c r="P1140" s="51"/>
      <c r="Q1140" s="65" t="s">
        <v>33</v>
      </c>
      <c r="R1140" s="20" t="s">
        <v>139</v>
      </c>
      <c r="S1140" s="35">
        <v>0</v>
      </c>
      <c r="T1140" s="35">
        <v>0</v>
      </c>
      <c r="U1140" s="35">
        <v>0</v>
      </c>
      <c r="V1140" s="36">
        <v>0</v>
      </c>
      <c r="W1140" s="36">
        <v>-1</v>
      </c>
      <c r="Y1140" s="50"/>
      <c r="Z1140" s="34">
        <v>64.017136533912606</v>
      </c>
      <c r="AA1140" s="48"/>
      <c r="AB1140" s="48"/>
      <c r="AC1140" s="48"/>
      <c r="AD1140" s="3">
        <v>3.1678832116788298</v>
      </c>
      <c r="AE1140" s="37" t="s">
        <v>102</v>
      </c>
      <c r="AF1140" s="22"/>
    </row>
    <row r="1141" spans="1:32" x14ac:dyDescent="0.2">
      <c r="A1141" s="1">
        <v>1323</v>
      </c>
      <c r="D1141" s="1" t="s">
        <v>4</v>
      </c>
      <c r="E1141" s="1" t="s">
        <v>25</v>
      </c>
      <c r="F1141" s="15">
        <v>0.3</v>
      </c>
      <c r="G1141" s="15">
        <v>0</v>
      </c>
      <c r="H1141" s="15">
        <v>0.6</v>
      </c>
      <c r="I1141" s="15">
        <f t="shared" si="77"/>
        <v>0.3</v>
      </c>
      <c r="O1141" s="18">
        <v>21</v>
      </c>
      <c r="Q1141" s="66" t="s">
        <v>33</v>
      </c>
      <c r="R1141" s="20" t="str">
        <f t="shared" si="74"/>
        <v>horizontal</v>
      </c>
      <c r="S1141" s="19">
        <v>0</v>
      </c>
      <c r="T1141" s="19">
        <v>0</v>
      </c>
      <c r="U1141" s="19">
        <v>0</v>
      </c>
      <c r="V1141" s="20">
        <v>0</v>
      </c>
      <c r="W1141" s="20">
        <v>-1</v>
      </c>
      <c r="Z1141" s="15">
        <v>75.979310274813898</v>
      </c>
      <c r="AD1141" s="1">
        <v>3.3284671532846701</v>
      </c>
      <c r="AE1141" s="22" t="s">
        <v>102</v>
      </c>
      <c r="AF1141" s="22"/>
    </row>
    <row r="1142" spans="1:32" s="4" customFormat="1" x14ac:dyDescent="0.2">
      <c r="A1142" s="1">
        <v>1324</v>
      </c>
      <c r="B1142" s="52"/>
      <c r="D1142" s="4" t="s">
        <v>4</v>
      </c>
      <c r="E1142" s="4" t="s">
        <v>25</v>
      </c>
      <c r="F1142" s="53">
        <v>0.3</v>
      </c>
      <c r="G1142" s="53">
        <v>0</v>
      </c>
      <c r="H1142" s="53">
        <v>0.6</v>
      </c>
      <c r="I1142" s="53">
        <f t="shared" si="77"/>
        <v>0.3</v>
      </c>
      <c r="J1142" s="54"/>
      <c r="K1142" s="54"/>
      <c r="L1142" s="54"/>
      <c r="M1142" s="55"/>
      <c r="N1142" s="56"/>
      <c r="O1142" s="56">
        <v>21</v>
      </c>
      <c r="P1142" s="57"/>
      <c r="Q1142" s="66" t="s">
        <v>33</v>
      </c>
      <c r="R1142" s="20" t="str">
        <f t="shared" si="74"/>
        <v>horizontal</v>
      </c>
      <c r="S1142" s="58">
        <v>0</v>
      </c>
      <c r="T1142" s="58">
        <v>0</v>
      </c>
      <c r="U1142" s="58">
        <v>0</v>
      </c>
      <c r="V1142" s="59">
        <v>0</v>
      </c>
      <c r="W1142" s="59">
        <v>-1</v>
      </c>
      <c r="Y1142" s="56"/>
      <c r="Z1142" s="53">
        <v>99.958478421976906</v>
      </c>
      <c r="AA1142" s="54"/>
      <c r="AB1142" s="54"/>
      <c r="AC1142" s="54"/>
      <c r="AD1142" s="4">
        <v>3.5328467153284602</v>
      </c>
      <c r="AE1142" s="60" t="s">
        <v>102</v>
      </c>
      <c r="AF1142" s="22"/>
    </row>
    <row r="1143" spans="1:32" s="3" customFormat="1" x14ac:dyDescent="0.2">
      <c r="A1143" s="1">
        <v>1325</v>
      </c>
      <c r="B1143" s="47"/>
      <c r="D1143" s="3" t="s">
        <v>4</v>
      </c>
      <c r="E1143" s="3" t="s">
        <v>25</v>
      </c>
      <c r="F1143" s="34">
        <v>0.5</v>
      </c>
      <c r="G1143" s="34">
        <v>0</v>
      </c>
      <c r="H1143" s="34">
        <v>0.8</v>
      </c>
      <c r="I1143" s="34">
        <f t="shared" si="77"/>
        <v>0.5</v>
      </c>
      <c r="J1143" s="48"/>
      <c r="K1143" s="48"/>
      <c r="L1143" s="48"/>
      <c r="M1143" s="49"/>
      <c r="N1143" s="50"/>
      <c r="O1143" s="50">
        <v>21</v>
      </c>
      <c r="P1143" s="51"/>
      <c r="Q1143" s="66" t="s">
        <v>33</v>
      </c>
      <c r="R1143" s="20" t="str">
        <f t="shared" si="74"/>
        <v>horizontal</v>
      </c>
      <c r="S1143" s="35">
        <v>0</v>
      </c>
      <c r="T1143" s="35">
        <v>0</v>
      </c>
      <c r="U1143" s="35">
        <v>0</v>
      </c>
      <c r="V1143" s="36">
        <v>0</v>
      </c>
      <c r="W1143" s="36">
        <v>-1</v>
      </c>
      <c r="Y1143" s="50"/>
      <c r="Z1143" s="34">
        <v>64.027972027971998</v>
      </c>
      <c r="AA1143" s="48"/>
      <c r="AB1143" s="48"/>
      <c r="AC1143" s="48"/>
      <c r="AD1143" s="3">
        <v>2.1513761467889898</v>
      </c>
      <c r="AE1143" s="37" t="s">
        <v>103</v>
      </c>
      <c r="AF1143" s="22"/>
    </row>
    <row r="1144" spans="1:32" x14ac:dyDescent="0.2">
      <c r="A1144" s="1">
        <v>1326</v>
      </c>
      <c r="D1144" s="1" t="s">
        <v>4</v>
      </c>
      <c r="E1144" s="1" t="s">
        <v>25</v>
      </c>
      <c r="F1144" s="15">
        <v>0.5</v>
      </c>
      <c r="G1144" s="15">
        <v>0</v>
      </c>
      <c r="H1144" s="15">
        <v>0.8</v>
      </c>
      <c r="I1144" s="15">
        <f t="shared" si="77"/>
        <v>0.5</v>
      </c>
      <c r="O1144" s="18">
        <v>21</v>
      </c>
      <c r="Q1144" s="66" t="s">
        <v>33</v>
      </c>
      <c r="R1144" s="20" t="str">
        <f t="shared" si="74"/>
        <v>horizontal</v>
      </c>
      <c r="S1144" s="19">
        <v>0</v>
      </c>
      <c r="T1144" s="19">
        <v>0</v>
      </c>
      <c r="U1144" s="19">
        <v>0</v>
      </c>
      <c r="V1144" s="20">
        <v>0</v>
      </c>
      <c r="W1144" s="20">
        <v>-1</v>
      </c>
      <c r="Z1144" s="15">
        <v>75.944055944055904</v>
      </c>
      <c r="AD1144" s="1">
        <v>2.3715596330275202</v>
      </c>
      <c r="AE1144" s="22" t="s">
        <v>103</v>
      </c>
      <c r="AF1144" s="22"/>
    </row>
    <row r="1145" spans="1:32" s="4" customFormat="1" x14ac:dyDescent="0.2">
      <c r="A1145" s="1">
        <v>1327</v>
      </c>
      <c r="B1145" s="52"/>
      <c r="D1145" s="4" t="s">
        <v>4</v>
      </c>
      <c r="E1145" s="4" t="s">
        <v>25</v>
      </c>
      <c r="F1145" s="53">
        <v>0.5</v>
      </c>
      <c r="G1145" s="53">
        <v>0</v>
      </c>
      <c r="H1145" s="53">
        <v>0.8</v>
      </c>
      <c r="I1145" s="53">
        <f t="shared" si="77"/>
        <v>0.5</v>
      </c>
      <c r="J1145" s="54"/>
      <c r="K1145" s="54"/>
      <c r="L1145" s="54"/>
      <c r="M1145" s="55"/>
      <c r="N1145" s="56"/>
      <c r="O1145" s="56">
        <v>21</v>
      </c>
      <c r="P1145" s="57"/>
      <c r="Q1145" s="66" t="s">
        <v>33</v>
      </c>
      <c r="R1145" s="20" t="str">
        <f t="shared" si="74"/>
        <v>horizontal</v>
      </c>
      <c r="S1145" s="58">
        <v>0</v>
      </c>
      <c r="T1145" s="58">
        <v>0</v>
      </c>
      <c r="U1145" s="58">
        <v>0</v>
      </c>
      <c r="V1145" s="59">
        <v>0</v>
      </c>
      <c r="W1145" s="59">
        <v>-1</v>
      </c>
      <c r="Y1145" s="56"/>
      <c r="Z1145" s="53">
        <v>99.944055944055904</v>
      </c>
      <c r="AA1145" s="54"/>
      <c r="AB1145" s="54"/>
      <c r="AC1145" s="54"/>
      <c r="AD1145" s="4">
        <v>2.6467889908256801</v>
      </c>
      <c r="AE1145" s="60" t="s">
        <v>103</v>
      </c>
      <c r="AF1145" s="22"/>
    </row>
    <row r="1146" spans="1:32" s="3" customFormat="1" x14ac:dyDescent="0.2">
      <c r="A1146" s="1">
        <v>1328</v>
      </c>
      <c r="B1146" s="47"/>
      <c r="D1146" s="3" t="s">
        <v>4</v>
      </c>
      <c r="E1146" s="3" t="s">
        <v>25</v>
      </c>
      <c r="F1146" s="34">
        <v>0.8</v>
      </c>
      <c r="G1146" s="34">
        <v>0</v>
      </c>
      <c r="H1146" s="34">
        <v>1.1000000000000001</v>
      </c>
      <c r="I1146" s="34">
        <f t="shared" si="77"/>
        <v>0.8</v>
      </c>
      <c r="J1146" s="48"/>
      <c r="K1146" s="48"/>
      <c r="L1146" s="48"/>
      <c r="M1146" s="49"/>
      <c r="N1146" s="50"/>
      <c r="O1146" s="50">
        <v>21</v>
      </c>
      <c r="P1146" s="51"/>
      <c r="Q1146" s="66" t="s">
        <v>33</v>
      </c>
      <c r="R1146" s="20" t="str">
        <f t="shared" si="74"/>
        <v>horizontal</v>
      </c>
      <c r="S1146" s="35">
        <v>0</v>
      </c>
      <c r="T1146" s="35">
        <v>0</v>
      </c>
      <c r="U1146" s="35">
        <v>0</v>
      </c>
      <c r="V1146" s="36">
        <v>0</v>
      </c>
      <c r="W1146" s="36">
        <v>-1</v>
      </c>
      <c r="Y1146" s="50"/>
      <c r="Z1146" s="34">
        <v>64.011741682974503</v>
      </c>
      <c r="AA1146" s="48"/>
      <c r="AB1146" s="48"/>
      <c r="AC1146" s="48"/>
      <c r="AD1146" s="3">
        <v>1.8063063063063001</v>
      </c>
      <c r="AE1146" s="37" t="s">
        <v>104</v>
      </c>
      <c r="AF1146" s="22"/>
    </row>
    <row r="1147" spans="1:32" x14ac:dyDescent="0.2">
      <c r="A1147" s="1">
        <v>1329</v>
      </c>
      <c r="D1147" s="1" t="s">
        <v>4</v>
      </c>
      <c r="E1147" s="1" t="s">
        <v>25</v>
      </c>
      <c r="F1147" s="15">
        <v>0.8</v>
      </c>
      <c r="G1147" s="15">
        <v>0</v>
      </c>
      <c r="H1147" s="15">
        <v>1.1000000000000001</v>
      </c>
      <c r="I1147" s="15">
        <f t="shared" si="77"/>
        <v>0.8</v>
      </c>
      <c r="O1147" s="18">
        <v>21</v>
      </c>
      <c r="Q1147" s="66" t="s">
        <v>33</v>
      </c>
      <c r="R1147" s="20" t="str">
        <f t="shared" si="74"/>
        <v>horizontal</v>
      </c>
      <c r="S1147" s="19">
        <v>0</v>
      </c>
      <c r="T1147" s="19">
        <v>0</v>
      </c>
      <c r="U1147" s="19">
        <v>0</v>
      </c>
      <c r="V1147" s="20">
        <v>0</v>
      </c>
      <c r="W1147" s="20">
        <v>-1</v>
      </c>
      <c r="Z1147" s="15">
        <v>75.988258317025398</v>
      </c>
      <c r="AD1147" s="1">
        <v>2.08378378378378</v>
      </c>
      <c r="AE1147" s="22" t="s">
        <v>104</v>
      </c>
      <c r="AF1147" s="22"/>
    </row>
    <row r="1148" spans="1:32" s="4" customFormat="1" x14ac:dyDescent="0.2">
      <c r="A1148" s="1">
        <v>1330</v>
      </c>
      <c r="B1148" s="52"/>
      <c r="D1148" s="4" t="s">
        <v>4</v>
      </c>
      <c r="E1148" s="4" t="s">
        <v>25</v>
      </c>
      <c r="F1148" s="53">
        <v>0.8</v>
      </c>
      <c r="G1148" s="53">
        <v>0</v>
      </c>
      <c r="H1148" s="53">
        <v>1.1000000000000001</v>
      </c>
      <c r="I1148" s="53">
        <f t="shared" si="77"/>
        <v>0.8</v>
      </c>
      <c r="J1148" s="54"/>
      <c r="K1148" s="54"/>
      <c r="L1148" s="54"/>
      <c r="M1148" s="55"/>
      <c r="N1148" s="56"/>
      <c r="O1148" s="56">
        <v>21</v>
      </c>
      <c r="P1148" s="57"/>
      <c r="Q1148" s="66" t="s">
        <v>33</v>
      </c>
      <c r="R1148" s="20" t="str">
        <f t="shared" si="74"/>
        <v>horizontal</v>
      </c>
      <c r="S1148" s="58">
        <v>0</v>
      </c>
      <c r="T1148" s="58">
        <v>0</v>
      </c>
      <c r="U1148" s="58">
        <v>0</v>
      </c>
      <c r="V1148" s="59">
        <v>0</v>
      </c>
      <c r="W1148" s="59">
        <v>-1</v>
      </c>
      <c r="Y1148" s="56"/>
      <c r="Z1148" s="53">
        <v>99.941291585127203</v>
      </c>
      <c r="AA1148" s="54"/>
      <c r="AB1148" s="54"/>
      <c r="AC1148" s="54"/>
      <c r="AD1148" s="4">
        <v>2.1810810810810799</v>
      </c>
      <c r="AE1148" s="60" t="s">
        <v>104</v>
      </c>
      <c r="AF1148" s="22"/>
    </row>
    <row r="1149" spans="1:32" s="3" customFormat="1" x14ac:dyDescent="0.2">
      <c r="A1149" s="1">
        <v>1331</v>
      </c>
      <c r="B1149" s="47"/>
      <c r="D1149" s="3" t="s">
        <v>4</v>
      </c>
      <c r="E1149" s="3" t="s">
        <v>25</v>
      </c>
      <c r="F1149" s="34">
        <v>0.8</v>
      </c>
      <c r="G1149" s="34">
        <v>0</v>
      </c>
      <c r="H1149" s="34">
        <v>1.4</v>
      </c>
      <c r="I1149" s="34">
        <f t="shared" si="77"/>
        <v>0.8</v>
      </c>
      <c r="J1149" s="48"/>
      <c r="K1149" s="48"/>
      <c r="L1149" s="48"/>
      <c r="M1149" s="49"/>
      <c r="N1149" s="50"/>
      <c r="O1149" s="50">
        <v>21</v>
      </c>
      <c r="P1149" s="51"/>
      <c r="Q1149" s="66" t="s">
        <v>33</v>
      </c>
      <c r="R1149" s="20" t="str">
        <f t="shared" si="74"/>
        <v>horizontal</v>
      </c>
      <c r="S1149" s="35">
        <v>0</v>
      </c>
      <c r="T1149" s="35">
        <v>0</v>
      </c>
      <c r="U1149" s="35">
        <v>0</v>
      </c>
      <c r="V1149" s="36">
        <v>0</v>
      </c>
      <c r="W1149" s="36">
        <v>-1</v>
      </c>
      <c r="Y1149" s="50"/>
      <c r="Z1149" s="34">
        <v>64</v>
      </c>
      <c r="AA1149" s="48"/>
      <c r="AB1149" s="48"/>
      <c r="AC1149" s="48"/>
      <c r="AD1149" s="3">
        <v>1.2077477477477401</v>
      </c>
      <c r="AE1149" s="37" t="s">
        <v>105</v>
      </c>
      <c r="AF1149" s="22"/>
    </row>
    <row r="1150" spans="1:32" x14ac:dyDescent="0.2">
      <c r="A1150" s="1">
        <v>1332</v>
      </c>
      <c r="D1150" s="1" t="s">
        <v>4</v>
      </c>
      <c r="E1150" s="1" t="s">
        <v>25</v>
      </c>
      <c r="F1150" s="15">
        <v>0.8</v>
      </c>
      <c r="G1150" s="15">
        <v>0</v>
      </c>
      <c r="H1150" s="15">
        <v>1.4</v>
      </c>
      <c r="I1150" s="15">
        <f t="shared" si="77"/>
        <v>0.8</v>
      </c>
      <c r="O1150" s="18">
        <v>21</v>
      </c>
      <c r="Q1150" s="66" t="s">
        <v>33</v>
      </c>
      <c r="R1150" s="20" t="str">
        <f t="shared" si="74"/>
        <v>horizontal</v>
      </c>
      <c r="S1150" s="19">
        <v>0</v>
      </c>
      <c r="T1150" s="19">
        <v>0</v>
      </c>
      <c r="U1150" s="19">
        <v>0</v>
      </c>
      <c r="V1150" s="20">
        <v>0</v>
      </c>
      <c r="W1150" s="20">
        <v>-1</v>
      </c>
      <c r="Z1150" s="15">
        <v>76</v>
      </c>
      <c r="AD1150" s="1">
        <v>1.4120720720720701</v>
      </c>
      <c r="AE1150" s="22" t="s">
        <v>105</v>
      </c>
      <c r="AF1150" s="22"/>
    </row>
    <row r="1151" spans="1:32" s="5" customFormat="1" ht="16" thickBot="1" x14ac:dyDescent="0.25">
      <c r="A1151" s="1">
        <v>1333</v>
      </c>
      <c r="B1151" s="24"/>
      <c r="D1151" s="5" t="s">
        <v>4</v>
      </c>
      <c r="E1151" s="5" t="s">
        <v>25</v>
      </c>
      <c r="F1151" s="25">
        <v>0.8</v>
      </c>
      <c r="G1151" s="25">
        <v>0</v>
      </c>
      <c r="H1151" s="25">
        <v>1.4</v>
      </c>
      <c r="I1151" s="25">
        <f t="shared" si="77"/>
        <v>0.8</v>
      </c>
      <c r="J1151" s="26"/>
      <c r="K1151" s="26"/>
      <c r="L1151" s="26"/>
      <c r="M1151" s="27"/>
      <c r="N1151" s="28"/>
      <c r="O1151" s="28">
        <v>21</v>
      </c>
      <c r="P1151" s="29"/>
      <c r="Q1151" s="66" t="s">
        <v>33</v>
      </c>
      <c r="R1151" s="20" t="str">
        <f t="shared" si="74"/>
        <v>horizontal</v>
      </c>
      <c r="S1151" s="30">
        <v>0</v>
      </c>
      <c r="T1151" s="30">
        <v>0</v>
      </c>
      <c r="U1151" s="30">
        <v>0</v>
      </c>
      <c r="V1151" s="31">
        <v>0</v>
      </c>
      <c r="W1151" s="31">
        <v>-1</v>
      </c>
      <c r="Y1151" s="28"/>
      <c r="Z1151" s="25">
        <v>100.058823529411</v>
      </c>
      <c r="AA1151" s="26"/>
      <c r="AB1151" s="26"/>
      <c r="AC1151" s="26"/>
      <c r="AD1151" s="5">
        <v>1.72612082670906</v>
      </c>
      <c r="AE1151" s="33" t="s">
        <v>105</v>
      </c>
      <c r="AF1151" s="22"/>
    </row>
    <row r="1152" spans="1:32" s="3" customFormat="1" x14ac:dyDescent="0.2">
      <c r="A1152" s="1">
        <v>1334</v>
      </c>
      <c r="B1152" s="47"/>
      <c r="D1152" s="3" t="s">
        <v>4</v>
      </c>
      <c r="E1152" s="3" t="s">
        <v>25</v>
      </c>
      <c r="F1152" s="34">
        <v>0.8</v>
      </c>
      <c r="G1152" s="34">
        <v>0</v>
      </c>
      <c r="H1152" s="34">
        <v>1.1000000000000001</v>
      </c>
      <c r="I1152" s="34">
        <f t="shared" si="77"/>
        <v>0.8</v>
      </c>
      <c r="J1152" s="48"/>
      <c r="K1152" s="48"/>
      <c r="L1152" s="48"/>
      <c r="M1152" s="49"/>
      <c r="N1152" s="50"/>
      <c r="O1152" s="50">
        <v>21</v>
      </c>
      <c r="P1152" s="51"/>
      <c r="Q1152" s="65" t="s">
        <v>33</v>
      </c>
      <c r="R1152" s="20" t="str">
        <f t="shared" si="74"/>
        <v>horizontal</v>
      </c>
      <c r="S1152" s="35">
        <v>0</v>
      </c>
      <c r="T1152" s="35">
        <v>0</v>
      </c>
      <c r="U1152" s="35">
        <v>0</v>
      </c>
      <c r="V1152" s="36">
        <v>0</v>
      </c>
      <c r="W1152" s="36">
        <v>-1</v>
      </c>
      <c r="Y1152" s="50"/>
      <c r="Z1152" s="34">
        <v>59.983633387888702</v>
      </c>
      <c r="AA1152" s="48"/>
      <c r="AB1152" s="48"/>
      <c r="AC1152" s="48"/>
      <c r="AD1152" s="3">
        <v>1.8979416800000002</v>
      </c>
      <c r="AE1152" s="37" t="s">
        <v>111</v>
      </c>
      <c r="AF1152" s="22"/>
    </row>
    <row r="1153" spans="1:32" x14ac:dyDescent="0.2">
      <c r="A1153" s="1">
        <v>1335</v>
      </c>
      <c r="D1153" s="1" t="s">
        <v>4</v>
      </c>
      <c r="E1153" s="3" t="s">
        <v>25</v>
      </c>
      <c r="F1153" s="15">
        <v>0.8</v>
      </c>
      <c r="G1153" s="15">
        <v>0</v>
      </c>
      <c r="H1153" s="15">
        <v>1.1000000000000001</v>
      </c>
      <c r="I1153" s="15">
        <f t="shared" ref="I1153:I1167" si="78">F1153</f>
        <v>0.8</v>
      </c>
      <c r="O1153" s="18">
        <v>21</v>
      </c>
      <c r="Q1153" s="66" t="s">
        <v>33</v>
      </c>
      <c r="R1153" s="20" t="str">
        <f t="shared" si="74"/>
        <v>horizontal</v>
      </c>
      <c r="S1153" s="19">
        <v>0</v>
      </c>
      <c r="T1153" s="19">
        <v>0</v>
      </c>
      <c r="U1153" s="19">
        <v>0</v>
      </c>
      <c r="V1153" s="20">
        <v>0</v>
      </c>
      <c r="W1153" s="20">
        <v>-1</v>
      </c>
      <c r="Z1153" s="15">
        <v>63.993453355155403</v>
      </c>
      <c r="AD1153" s="1">
        <v>1.9922813000000001</v>
      </c>
      <c r="AE1153" s="37" t="s">
        <v>111</v>
      </c>
      <c r="AF1153" s="22"/>
    </row>
    <row r="1154" spans="1:32" x14ac:dyDescent="0.2">
      <c r="A1154" s="1">
        <v>1336</v>
      </c>
      <c r="D1154" s="1" t="s">
        <v>4</v>
      </c>
      <c r="E1154" s="3" t="s">
        <v>25</v>
      </c>
      <c r="F1154" s="15">
        <v>0.8</v>
      </c>
      <c r="G1154" s="15">
        <v>0</v>
      </c>
      <c r="H1154" s="15">
        <v>1.1000000000000001</v>
      </c>
      <c r="I1154" s="15">
        <f t="shared" si="78"/>
        <v>0.8</v>
      </c>
      <c r="O1154" s="18">
        <v>21</v>
      </c>
      <c r="Q1154" s="66" t="s">
        <v>33</v>
      </c>
      <c r="R1154" s="20" t="str">
        <f t="shared" si="74"/>
        <v>horizontal</v>
      </c>
      <c r="S1154" s="19">
        <v>0</v>
      </c>
      <c r="T1154" s="19">
        <v>0</v>
      </c>
      <c r="U1154" s="19">
        <v>0</v>
      </c>
      <c r="V1154" s="20">
        <v>0</v>
      </c>
      <c r="W1154" s="20">
        <v>-1</v>
      </c>
      <c r="Z1154" s="15">
        <v>69.967266775777404</v>
      </c>
      <c r="AD1154" s="1">
        <v>2.0694682699999998</v>
      </c>
      <c r="AE1154" s="37" t="s">
        <v>111</v>
      </c>
      <c r="AF1154" s="22"/>
    </row>
    <row r="1155" spans="1:32" x14ac:dyDescent="0.2">
      <c r="A1155" s="1">
        <v>1337</v>
      </c>
      <c r="D1155" s="1" t="s">
        <v>4</v>
      </c>
      <c r="E1155" s="3" t="s">
        <v>25</v>
      </c>
      <c r="F1155" s="15">
        <v>0.8</v>
      </c>
      <c r="G1155" s="15">
        <v>0</v>
      </c>
      <c r="H1155" s="15">
        <v>1.1000000000000001</v>
      </c>
      <c r="I1155" s="15">
        <f t="shared" si="78"/>
        <v>0.8</v>
      </c>
      <c r="O1155" s="18">
        <v>21</v>
      </c>
      <c r="Q1155" s="66" t="s">
        <v>33</v>
      </c>
      <c r="R1155" s="20" t="str">
        <f t="shared" si="74"/>
        <v>horizontal</v>
      </c>
      <c r="S1155" s="19">
        <v>0</v>
      </c>
      <c r="T1155" s="19">
        <v>0</v>
      </c>
      <c r="U1155" s="19">
        <v>0</v>
      </c>
      <c r="V1155" s="20">
        <v>0</v>
      </c>
      <c r="W1155" s="20">
        <v>-1</v>
      </c>
      <c r="Z1155" s="15">
        <v>76.022913256955803</v>
      </c>
      <c r="AD1155" s="1">
        <v>2.08662093</v>
      </c>
      <c r="AE1155" s="37" t="s">
        <v>111</v>
      </c>
      <c r="AF1155" s="22"/>
    </row>
    <row r="1156" spans="1:32" x14ac:dyDescent="0.2">
      <c r="A1156" s="1">
        <v>1338</v>
      </c>
      <c r="D1156" s="1" t="s">
        <v>4</v>
      </c>
      <c r="E1156" s="3" t="s">
        <v>25</v>
      </c>
      <c r="F1156" s="15">
        <v>0.8</v>
      </c>
      <c r="G1156" s="15">
        <v>0</v>
      </c>
      <c r="H1156" s="15">
        <v>1.1000000000000001</v>
      </c>
      <c r="I1156" s="15">
        <f t="shared" si="78"/>
        <v>0.8</v>
      </c>
      <c r="O1156" s="18">
        <v>21</v>
      </c>
      <c r="Q1156" s="66" t="s">
        <v>33</v>
      </c>
      <c r="R1156" s="20" t="str">
        <f t="shared" ref="R1156:R1177" si="79">R1155</f>
        <v>horizontal</v>
      </c>
      <c r="S1156" s="19">
        <v>0</v>
      </c>
      <c r="T1156" s="19">
        <v>0</v>
      </c>
      <c r="U1156" s="19">
        <v>0</v>
      </c>
      <c r="V1156" s="20">
        <v>0</v>
      </c>
      <c r="W1156" s="20">
        <v>-1</v>
      </c>
      <c r="Z1156" s="15">
        <v>80.032733224222497</v>
      </c>
      <c r="AD1156" s="1">
        <v>2.1552315599999998</v>
      </c>
      <c r="AE1156" s="37" t="s">
        <v>111</v>
      </c>
      <c r="AF1156" s="22"/>
    </row>
    <row r="1157" spans="1:32" x14ac:dyDescent="0.2">
      <c r="A1157" s="1">
        <v>1339</v>
      </c>
      <c r="D1157" s="1" t="s">
        <v>4</v>
      </c>
      <c r="E1157" s="3" t="s">
        <v>25</v>
      </c>
      <c r="F1157" s="15">
        <v>0.8</v>
      </c>
      <c r="G1157" s="15">
        <v>0</v>
      </c>
      <c r="H1157" s="15">
        <v>1.1000000000000001</v>
      </c>
      <c r="I1157" s="15">
        <f t="shared" si="78"/>
        <v>0.8</v>
      </c>
      <c r="O1157" s="18">
        <v>21</v>
      </c>
      <c r="Q1157" s="66" t="s">
        <v>33</v>
      </c>
      <c r="R1157" s="20" t="str">
        <f t="shared" si="79"/>
        <v>horizontal</v>
      </c>
      <c r="S1157" s="19">
        <v>0</v>
      </c>
      <c r="T1157" s="19">
        <v>0</v>
      </c>
      <c r="U1157" s="19">
        <v>0</v>
      </c>
      <c r="V1157" s="20">
        <v>0</v>
      </c>
      <c r="W1157" s="20">
        <v>-1</v>
      </c>
      <c r="Z1157" s="15">
        <v>89.934533551554793</v>
      </c>
      <c r="AD1157" s="1">
        <v>2.2238422</v>
      </c>
      <c r="AE1157" s="37" t="s">
        <v>111</v>
      </c>
      <c r="AF1157" s="22"/>
    </row>
    <row r="1158" spans="1:32" x14ac:dyDescent="0.2">
      <c r="A1158" s="1">
        <v>1340</v>
      </c>
      <c r="D1158" s="1" t="s">
        <v>4</v>
      </c>
      <c r="E1158" s="3" t="s">
        <v>25</v>
      </c>
      <c r="F1158" s="15">
        <v>0.8</v>
      </c>
      <c r="G1158" s="15">
        <v>0</v>
      </c>
      <c r="H1158" s="15">
        <v>1.1000000000000001</v>
      </c>
      <c r="I1158" s="15">
        <f t="shared" si="78"/>
        <v>0.8</v>
      </c>
      <c r="O1158" s="18">
        <v>21</v>
      </c>
      <c r="Q1158" s="66" t="s">
        <v>33</v>
      </c>
      <c r="R1158" s="20" t="str">
        <f t="shared" si="79"/>
        <v>horizontal</v>
      </c>
      <c r="S1158" s="19">
        <v>0</v>
      </c>
      <c r="T1158" s="19">
        <v>0</v>
      </c>
      <c r="U1158" s="19">
        <v>0</v>
      </c>
      <c r="V1158" s="20">
        <v>0</v>
      </c>
      <c r="W1158" s="20">
        <v>-1</v>
      </c>
      <c r="Z1158" s="15">
        <v>100.08183306055599</v>
      </c>
      <c r="AD1158" s="1">
        <v>2.3010291599999997</v>
      </c>
      <c r="AE1158" s="37" t="s">
        <v>111</v>
      </c>
      <c r="AF1158" s="22"/>
    </row>
    <row r="1159" spans="1:32" x14ac:dyDescent="0.2">
      <c r="A1159" s="1">
        <v>1341</v>
      </c>
      <c r="D1159" s="1" t="s">
        <v>9</v>
      </c>
      <c r="E1159" s="3" t="s">
        <v>25</v>
      </c>
      <c r="F1159" s="15">
        <v>0.8</v>
      </c>
      <c r="G1159" s="15">
        <v>0</v>
      </c>
      <c r="H1159" s="15">
        <v>1.1000000000000001</v>
      </c>
      <c r="I1159" s="15">
        <f t="shared" si="78"/>
        <v>0.8</v>
      </c>
      <c r="O1159" s="18">
        <v>21</v>
      </c>
      <c r="Q1159" s="66" t="s">
        <v>33</v>
      </c>
      <c r="R1159" s="20" t="str">
        <f t="shared" si="79"/>
        <v>horizontal</v>
      </c>
      <c r="S1159" s="19">
        <v>0</v>
      </c>
      <c r="T1159" s="19">
        <v>0</v>
      </c>
      <c r="U1159" s="19">
        <v>0</v>
      </c>
      <c r="V1159" s="20">
        <v>0</v>
      </c>
      <c r="W1159" s="20">
        <v>-1</v>
      </c>
      <c r="Z1159" s="15">
        <v>50</v>
      </c>
      <c r="AD1159" s="1">
        <v>1.37907376</v>
      </c>
      <c r="AE1159" s="37" t="s">
        <v>111</v>
      </c>
      <c r="AF1159" s="22"/>
    </row>
    <row r="1160" spans="1:32" x14ac:dyDescent="0.2">
      <c r="A1160" s="1">
        <v>1342</v>
      </c>
      <c r="D1160" s="1" t="s">
        <v>9</v>
      </c>
      <c r="E1160" s="3" t="s">
        <v>25</v>
      </c>
      <c r="F1160" s="15">
        <v>0.8</v>
      </c>
      <c r="G1160" s="15">
        <v>0</v>
      </c>
      <c r="H1160" s="15">
        <v>1.1000000000000001</v>
      </c>
      <c r="I1160" s="15">
        <f t="shared" si="78"/>
        <v>0.8</v>
      </c>
      <c r="O1160" s="18">
        <v>21</v>
      </c>
      <c r="Q1160" s="66" t="s">
        <v>33</v>
      </c>
      <c r="R1160" s="20" t="str">
        <f t="shared" si="79"/>
        <v>horizontal</v>
      </c>
      <c r="S1160" s="19">
        <v>0</v>
      </c>
      <c r="T1160" s="19">
        <v>0</v>
      </c>
      <c r="U1160" s="19">
        <v>0</v>
      </c>
      <c r="V1160" s="20">
        <v>0</v>
      </c>
      <c r="W1160" s="20">
        <v>-1</v>
      </c>
      <c r="Z1160" s="15">
        <v>59.983633387888702</v>
      </c>
      <c r="AD1160" s="1">
        <v>1.45626072</v>
      </c>
      <c r="AE1160" s="37" t="s">
        <v>111</v>
      </c>
      <c r="AF1160" s="22"/>
    </row>
    <row r="1161" spans="1:32" x14ac:dyDescent="0.2">
      <c r="A1161" s="1">
        <v>1343</v>
      </c>
      <c r="D1161" s="1" t="s">
        <v>9</v>
      </c>
      <c r="E1161" s="3" t="s">
        <v>25</v>
      </c>
      <c r="F1161" s="15">
        <v>0.8</v>
      </c>
      <c r="G1161" s="15">
        <v>0</v>
      </c>
      <c r="H1161" s="15">
        <v>1.1000000000000001</v>
      </c>
      <c r="I1161" s="15">
        <f t="shared" si="78"/>
        <v>0.8</v>
      </c>
      <c r="O1161" s="18">
        <v>21</v>
      </c>
      <c r="Q1161" s="66" t="s">
        <v>33</v>
      </c>
      <c r="R1161" s="20" t="str">
        <f t="shared" si="79"/>
        <v>horizontal</v>
      </c>
      <c r="S1161" s="19">
        <v>0</v>
      </c>
      <c r="T1161" s="19">
        <v>0</v>
      </c>
      <c r="U1161" s="19">
        <v>0</v>
      </c>
      <c r="V1161" s="20">
        <v>0</v>
      </c>
      <c r="W1161" s="20">
        <v>-1</v>
      </c>
      <c r="Z1161" s="15">
        <v>63.993453355155403</v>
      </c>
      <c r="AD1161" s="1">
        <v>1.4691252099999998</v>
      </c>
      <c r="AE1161" s="37" t="s">
        <v>111</v>
      </c>
      <c r="AF1161" s="22"/>
    </row>
    <row r="1162" spans="1:32" x14ac:dyDescent="0.2">
      <c r="A1162" s="1">
        <v>1344</v>
      </c>
      <c r="D1162" s="1" t="s">
        <v>9</v>
      </c>
      <c r="E1162" s="3" t="s">
        <v>25</v>
      </c>
      <c r="F1162" s="15">
        <v>0.8</v>
      </c>
      <c r="G1162" s="15">
        <v>0</v>
      </c>
      <c r="H1162" s="15">
        <v>1.1000000000000001</v>
      </c>
      <c r="I1162" s="15">
        <f t="shared" si="78"/>
        <v>0.8</v>
      </c>
      <c r="O1162" s="18">
        <v>21</v>
      </c>
      <c r="Q1162" s="66" t="s">
        <v>33</v>
      </c>
      <c r="R1162" s="20" t="str">
        <f t="shared" si="79"/>
        <v>horizontal</v>
      </c>
      <c r="S1162" s="19">
        <v>0</v>
      </c>
      <c r="T1162" s="19">
        <v>0</v>
      </c>
      <c r="U1162" s="19">
        <v>0</v>
      </c>
      <c r="V1162" s="20">
        <v>0</v>
      </c>
      <c r="W1162" s="20">
        <v>-1</v>
      </c>
      <c r="Z1162" s="15">
        <v>70.049099836333795</v>
      </c>
      <c r="AD1162" s="1">
        <v>1.4862778700000001</v>
      </c>
      <c r="AE1162" s="37" t="s">
        <v>111</v>
      </c>
      <c r="AF1162" s="22"/>
    </row>
    <row r="1163" spans="1:32" x14ac:dyDescent="0.2">
      <c r="A1163" s="1">
        <v>1345</v>
      </c>
      <c r="D1163" s="1" t="s">
        <v>9</v>
      </c>
      <c r="E1163" s="3" t="s">
        <v>25</v>
      </c>
      <c r="F1163" s="15">
        <v>0.8</v>
      </c>
      <c r="G1163" s="15">
        <v>0</v>
      </c>
      <c r="H1163" s="15">
        <v>1.1000000000000001</v>
      </c>
      <c r="I1163" s="15">
        <f t="shared" si="78"/>
        <v>0.8</v>
      </c>
      <c r="O1163" s="18">
        <v>21</v>
      </c>
      <c r="Q1163" s="66" t="s">
        <v>33</v>
      </c>
      <c r="R1163" s="20" t="str">
        <f t="shared" si="79"/>
        <v>horizontal</v>
      </c>
      <c r="S1163" s="19">
        <v>0</v>
      </c>
      <c r="T1163" s="19">
        <v>0</v>
      </c>
      <c r="U1163" s="19">
        <v>0</v>
      </c>
      <c r="V1163" s="20">
        <v>0</v>
      </c>
      <c r="W1163" s="20">
        <v>-1</v>
      </c>
      <c r="Z1163" s="15">
        <v>76.022913256955803</v>
      </c>
      <c r="AD1163" s="1">
        <v>1.52058319</v>
      </c>
      <c r="AE1163" s="37" t="s">
        <v>111</v>
      </c>
      <c r="AF1163" s="22"/>
    </row>
    <row r="1164" spans="1:32" x14ac:dyDescent="0.2">
      <c r="A1164" s="1">
        <v>1346</v>
      </c>
      <c r="D1164" s="1" t="s">
        <v>9</v>
      </c>
      <c r="E1164" s="3" t="s">
        <v>25</v>
      </c>
      <c r="F1164" s="15">
        <v>0.8</v>
      </c>
      <c r="G1164" s="15">
        <v>0</v>
      </c>
      <c r="H1164" s="15">
        <v>1.1000000000000001</v>
      </c>
      <c r="I1164" s="15">
        <f t="shared" si="78"/>
        <v>0.8</v>
      </c>
      <c r="O1164" s="18">
        <v>21</v>
      </c>
      <c r="Q1164" s="65" t="s">
        <v>33</v>
      </c>
      <c r="R1164" s="20" t="str">
        <f t="shared" si="79"/>
        <v>horizontal</v>
      </c>
      <c r="S1164" s="19">
        <v>0</v>
      </c>
      <c r="T1164" s="19">
        <v>0</v>
      </c>
      <c r="U1164" s="19">
        <v>0</v>
      </c>
      <c r="V1164" s="20">
        <v>0</v>
      </c>
      <c r="W1164" s="20">
        <v>-1</v>
      </c>
      <c r="Z1164" s="15">
        <v>80.032733224222497</v>
      </c>
      <c r="AD1164" s="1">
        <v>1.56346484</v>
      </c>
      <c r="AE1164" s="37" t="s">
        <v>111</v>
      </c>
      <c r="AF1164" s="22"/>
    </row>
    <row r="1165" spans="1:32" x14ac:dyDescent="0.2">
      <c r="A1165" s="1">
        <v>1347</v>
      </c>
      <c r="D1165" s="1" t="s">
        <v>9</v>
      </c>
      <c r="E1165" s="3" t="s">
        <v>25</v>
      </c>
      <c r="F1165" s="15">
        <v>0.8</v>
      </c>
      <c r="G1165" s="15">
        <v>0</v>
      </c>
      <c r="H1165" s="15">
        <v>1.1000000000000001</v>
      </c>
      <c r="I1165" s="15">
        <f t="shared" si="78"/>
        <v>0.8</v>
      </c>
      <c r="O1165" s="18">
        <v>21</v>
      </c>
      <c r="Q1165" s="66" t="s">
        <v>33</v>
      </c>
      <c r="R1165" s="20" t="str">
        <f t="shared" si="79"/>
        <v>horizontal</v>
      </c>
      <c r="S1165" s="19">
        <v>0</v>
      </c>
      <c r="T1165" s="19">
        <v>0</v>
      </c>
      <c r="U1165" s="19">
        <v>0</v>
      </c>
      <c r="V1165" s="20">
        <v>0</v>
      </c>
      <c r="W1165" s="20">
        <v>-1</v>
      </c>
      <c r="Z1165" s="15">
        <v>90.098199672667704</v>
      </c>
      <c r="AD1165" s="1">
        <v>1.5977701499999999</v>
      </c>
      <c r="AE1165" s="37" t="s">
        <v>111</v>
      </c>
      <c r="AF1165" s="22"/>
    </row>
    <row r="1166" spans="1:32" s="5" customFormat="1" ht="16" thickBot="1" x14ac:dyDescent="0.25">
      <c r="A1166" s="1">
        <v>1348</v>
      </c>
      <c r="B1166" s="24"/>
      <c r="D1166" s="5" t="s">
        <v>9</v>
      </c>
      <c r="E1166" s="5" t="s">
        <v>25</v>
      </c>
      <c r="F1166" s="25">
        <v>0.8</v>
      </c>
      <c r="G1166" s="25">
        <v>0</v>
      </c>
      <c r="H1166" s="25">
        <v>1.1000000000000001</v>
      </c>
      <c r="I1166" s="25">
        <f t="shared" si="78"/>
        <v>0.8</v>
      </c>
      <c r="J1166" s="26"/>
      <c r="K1166" s="26"/>
      <c r="L1166" s="26"/>
      <c r="M1166" s="27"/>
      <c r="N1166" s="28"/>
      <c r="O1166" s="28">
        <v>21</v>
      </c>
      <c r="P1166" s="29"/>
      <c r="Q1166" s="66" t="s">
        <v>33</v>
      </c>
      <c r="R1166" s="20" t="str">
        <f t="shared" si="79"/>
        <v>horizontal</v>
      </c>
      <c r="S1166" s="30">
        <v>0</v>
      </c>
      <c r="T1166" s="30">
        <v>0</v>
      </c>
      <c r="U1166" s="30">
        <v>0</v>
      </c>
      <c r="V1166" s="31">
        <v>0</v>
      </c>
      <c r="W1166" s="31">
        <v>-1</v>
      </c>
      <c r="Y1166" s="28"/>
      <c r="Z1166" s="25">
        <v>100.08183306055599</v>
      </c>
      <c r="AA1166" s="26"/>
      <c r="AB1166" s="26"/>
      <c r="AC1166" s="26"/>
      <c r="AD1166" s="5">
        <v>1.6363636400000001</v>
      </c>
      <c r="AE1166" s="33" t="s">
        <v>111</v>
      </c>
      <c r="AF1166" s="22"/>
    </row>
    <row r="1167" spans="1:32" s="3" customFormat="1" x14ac:dyDescent="0.2">
      <c r="A1167" s="1">
        <v>1349</v>
      </c>
      <c r="B1167" s="47"/>
      <c r="D1167" s="3" t="s">
        <v>4</v>
      </c>
      <c r="E1167" s="3" t="s">
        <v>25</v>
      </c>
      <c r="F1167" s="34">
        <v>0.5</v>
      </c>
      <c r="G1167" s="34">
        <v>0</v>
      </c>
      <c r="H1167" s="34">
        <v>0.8</v>
      </c>
      <c r="I1167" s="34">
        <f t="shared" si="78"/>
        <v>0.5</v>
      </c>
      <c r="J1167" s="48"/>
      <c r="K1167" s="48"/>
      <c r="L1167" s="48"/>
      <c r="M1167" s="49"/>
      <c r="N1167" s="50"/>
      <c r="O1167" s="50">
        <v>21</v>
      </c>
      <c r="P1167" s="51"/>
      <c r="Q1167" s="66" t="s">
        <v>33</v>
      </c>
      <c r="R1167" s="20" t="s">
        <v>138</v>
      </c>
      <c r="S1167" s="35">
        <v>0</v>
      </c>
      <c r="T1167" s="35">
        <v>0</v>
      </c>
      <c r="U1167" s="35">
        <v>0</v>
      </c>
      <c r="V1167" s="36">
        <v>0.99999996637249788</v>
      </c>
      <c r="W1167" s="36">
        <v>-2.5933569575654458E-4</v>
      </c>
      <c r="Y1167" s="50"/>
      <c r="Z1167" s="34">
        <v>101</v>
      </c>
      <c r="AA1167" s="48"/>
      <c r="AB1167" s="48"/>
      <c r="AC1167" s="48"/>
      <c r="AD1167" s="3">
        <v>6.69052224</v>
      </c>
      <c r="AE1167" s="37" t="s">
        <v>106</v>
      </c>
      <c r="AF1167" s="22"/>
    </row>
    <row r="1168" spans="1:32" x14ac:dyDescent="0.2">
      <c r="A1168" s="1">
        <v>1350</v>
      </c>
      <c r="D1168" s="1" t="s">
        <v>4</v>
      </c>
      <c r="E1168" s="1" t="s">
        <v>25</v>
      </c>
      <c r="F1168" s="34">
        <v>0.5</v>
      </c>
      <c r="G1168" s="15">
        <v>0</v>
      </c>
      <c r="H1168" s="34">
        <v>0.8</v>
      </c>
      <c r="I1168" s="15">
        <f t="shared" ref="I1168:I1177" si="80">F1168</f>
        <v>0.5</v>
      </c>
      <c r="O1168" s="18">
        <v>21</v>
      </c>
      <c r="Q1168" s="66" t="s">
        <v>33</v>
      </c>
      <c r="R1168" s="20" t="str">
        <f t="shared" si="79"/>
        <v>inclined</v>
      </c>
      <c r="S1168" s="19">
        <v>0</v>
      </c>
      <c r="T1168" s="19">
        <v>0</v>
      </c>
      <c r="U1168" s="19">
        <v>0</v>
      </c>
      <c r="V1168" s="20">
        <v>0.96595937867750037</v>
      </c>
      <c r="W1168" s="20">
        <v>-0.25869379340250415</v>
      </c>
      <c r="Z1168" s="15">
        <v>101</v>
      </c>
      <c r="AD1168" s="1">
        <v>6.6441005799999999</v>
      </c>
      <c r="AE1168" s="22" t="s">
        <v>106</v>
      </c>
      <c r="AF1168" s="22"/>
    </row>
    <row r="1169" spans="1:32" x14ac:dyDescent="0.2">
      <c r="A1169" s="1">
        <v>1351</v>
      </c>
      <c r="D1169" s="1" t="s">
        <v>4</v>
      </c>
      <c r="E1169" s="1" t="s">
        <v>25</v>
      </c>
      <c r="F1169" s="34">
        <v>0.5</v>
      </c>
      <c r="G1169" s="15">
        <v>0</v>
      </c>
      <c r="H1169" s="34">
        <v>0.8</v>
      </c>
      <c r="I1169" s="15">
        <f t="shared" si="80"/>
        <v>0.5</v>
      </c>
      <c r="O1169" s="18">
        <v>21</v>
      </c>
      <c r="Q1169" s="66" t="s">
        <v>33</v>
      </c>
      <c r="R1169" s="20" t="str">
        <f t="shared" si="79"/>
        <v>inclined</v>
      </c>
      <c r="S1169" s="19">
        <v>0</v>
      </c>
      <c r="T1169" s="19">
        <v>0</v>
      </c>
      <c r="U1169" s="19">
        <v>0</v>
      </c>
      <c r="V1169" s="20">
        <v>0.8662846229823904</v>
      </c>
      <c r="W1169" s="20">
        <v>-0.49955075015883799</v>
      </c>
      <c r="Z1169" s="15">
        <v>101</v>
      </c>
      <c r="AD1169" s="1">
        <v>5.7388781399999997</v>
      </c>
      <c r="AE1169" s="22" t="s">
        <v>106</v>
      </c>
      <c r="AF1169" s="22"/>
    </row>
    <row r="1170" spans="1:32" x14ac:dyDescent="0.2">
      <c r="A1170" s="1">
        <v>1352</v>
      </c>
      <c r="D1170" s="1" t="s">
        <v>4</v>
      </c>
      <c r="E1170" s="1" t="s">
        <v>25</v>
      </c>
      <c r="F1170" s="34">
        <v>0.5</v>
      </c>
      <c r="G1170" s="15">
        <v>0</v>
      </c>
      <c r="H1170" s="34">
        <v>0.8</v>
      </c>
      <c r="I1170" s="15">
        <f t="shared" si="80"/>
        <v>0.5</v>
      </c>
      <c r="O1170" s="18">
        <v>21</v>
      </c>
      <c r="Q1170" s="66" t="s">
        <v>33</v>
      </c>
      <c r="R1170" s="20" t="str">
        <f t="shared" si="79"/>
        <v>inclined</v>
      </c>
      <c r="S1170" s="19">
        <v>0</v>
      </c>
      <c r="T1170" s="19">
        <v>0</v>
      </c>
      <c r="U1170" s="19">
        <v>0</v>
      </c>
      <c r="V1170" s="20">
        <v>0.70481084446617637</v>
      </c>
      <c r="W1170" s="20">
        <v>-0.70939528721501621</v>
      </c>
      <c r="Z1170" s="15">
        <v>101</v>
      </c>
      <c r="AD1170" s="1">
        <v>4.6595744699999999</v>
      </c>
      <c r="AE1170" s="22" t="s">
        <v>106</v>
      </c>
      <c r="AF1170" s="22"/>
    </row>
    <row r="1171" spans="1:32" x14ac:dyDescent="0.2">
      <c r="A1171" s="1">
        <v>1353</v>
      </c>
      <c r="D1171" s="1" t="s">
        <v>4</v>
      </c>
      <c r="E1171" s="1" t="s">
        <v>25</v>
      </c>
      <c r="F1171" s="34">
        <v>0.5</v>
      </c>
      <c r="G1171" s="15">
        <v>0</v>
      </c>
      <c r="H1171" s="34">
        <v>0.8</v>
      </c>
      <c r="I1171" s="15">
        <f t="shared" si="80"/>
        <v>0.5</v>
      </c>
      <c r="O1171" s="18">
        <v>21</v>
      </c>
      <c r="Q1171" s="66" t="s">
        <v>33</v>
      </c>
      <c r="R1171" s="20" t="str">
        <f t="shared" si="79"/>
        <v>inclined</v>
      </c>
      <c r="S1171" s="19">
        <v>0</v>
      </c>
      <c r="T1171" s="19">
        <v>0</v>
      </c>
      <c r="U1171" s="19">
        <v>0</v>
      </c>
      <c r="V1171" s="20">
        <v>0.5011225358573419</v>
      </c>
      <c r="W1171" s="20">
        <v>-0.86537633666278801</v>
      </c>
      <c r="Z1171" s="15">
        <v>101</v>
      </c>
      <c r="AD1171" s="1">
        <v>4.0793036799999998</v>
      </c>
      <c r="AE1171" s="22" t="s">
        <v>106</v>
      </c>
      <c r="AF1171" s="22"/>
    </row>
    <row r="1172" spans="1:32" x14ac:dyDescent="0.2">
      <c r="A1172" s="1">
        <v>1354</v>
      </c>
      <c r="D1172" s="1" t="s">
        <v>4</v>
      </c>
      <c r="E1172" s="1" t="s">
        <v>25</v>
      </c>
      <c r="F1172" s="34">
        <v>0.5</v>
      </c>
      <c r="G1172" s="15">
        <v>0</v>
      </c>
      <c r="H1172" s="34">
        <v>0.8</v>
      </c>
      <c r="I1172" s="15">
        <f t="shared" si="80"/>
        <v>0.5</v>
      </c>
      <c r="O1172" s="18">
        <v>21</v>
      </c>
      <c r="Q1172" s="66" t="s">
        <v>33</v>
      </c>
      <c r="R1172" s="20" t="str">
        <f t="shared" si="79"/>
        <v>inclined</v>
      </c>
      <c r="S1172" s="19">
        <v>0</v>
      </c>
      <c r="T1172" s="19">
        <v>0</v>
      </c>
      <c r="U1172" s="19">
        <v>0</v>
      </c>
      <c r="V1172" s="20">
        <v>0.26044692042984069</v>
      </c>
      <c r="W1172" s="20">
        <v>-0.96548816752905486</v>
      </c>
      <c r="Z1172" s="15">
        <v>101</v>
      </c>
      <c r="AD1172" s="1">
        <v>3.8820116100000002</v>
      </c>
      <c r="AE1172" s="22" t="s">
        <v>106</v>
      </c>
      <c r="AF1172" s="22"/>
    </row>
    <row r="1173" spans="1:32" x14ac:dyDescent="0.2">
      <c r="A1173" s="1">
        <v>1355</v>
      </c>
      <c r="D1173" s="1" t="s">
        <v>4</v>
      </c>
      <c r="E1173" s="1" t="s">
        <v>25</v>
      </c>
      <c r="F1173" s="34">
        <v>0.5</v>
      </c>
      <c r="G1173" s="15">
        <v>0</v>
      </c>
      <c r="H1173" s="34">
        <v>0.8</v>
      </c>
      <c r="I1173" s="15">
        <f t="shared" si="80"/>
        <v>0.5</v>
      </c>
      <c r="O1173" s="18">
        <v>21</v>
      </c>
      <c r="Q1173" s="66" t="s">
        <v>33</v>
      </c>
      <c r="R1173" s="20" t="str">
        <f t="shared" si="79"/>
        <v>inclined</v>
      </c>
      <c r="S1173" s="19">
        <v>0</v>
      </c>
      <c r="T1173" s="19">
        <v>0</v>
      </c>
      <c r="U1173" s="19">
        <v>0</v>
      </c>
      <c r="V1173" s="20">
        <v>6.2240165824613489E-3</v>
      </c>
      <c r="W1173" s="20">
        <v>-0.99998063062120424</v>
      </c>
      <c r="Z1173" s="15">
        <v>101</v>
      </c>
      <c r="AD1173" s="1">
        <v>3.4294003899999996</v>
      </c>
      <c r="AE1173" s="22" t="s">
        <v>106</v>
      </c>
      <c r="AF1173" s="22"/>
    </row>
    <row r="1174" spans="1:32" x14ac:dyDescent="0.2">
      <c r="A1174" s="1">
        <v>1356</v>
      </c>
      <c r="D1174" s="1" t="s">
        <v>4</v>
      </c>
      <c r="E1174" s="1" t="s">
        <v>25</v>
      </c>
      <c r="F1174" s="34">
        <v>0.5</v>
      </c>
      <c r="G1174" s="15">
        <v>0</v>
      </c>
      <c r="H1174" s="34">
        <v>0.8</v>
      </c>
      <c r="I1174" s="15">
        <f t="shared" si="80"/>
        <v>0.5</v>
      </c>
      <c r="O1174" s="18">
        <v>21</v>
      </c>
      <c r="Q1174" s="66" t="s">
        <v>33</v>
      </c>
      <c r="R1174" s="20" t="str">
        <f t="shared" si="79"/>
        <v>inclined</v>
      </c>
      <c r="S1174" s="19">
        <v>0</v>
      </c>
      <c r="T1174" s="19">
        <v>0</v>
      </c>
      <c r="U1174" s="19">
        <v>0</v>
      </c>
      <c r="V1174" s="20">
        <v>-0.25643852105939041</v>
      </c>
      <c r="W1174" s="20">
        <v>-0.96656054384444667</v>
      </c>
      <c r="Z1174" s="15">
        <v>101</v>
      </c>
      <c r="AD1174" s="1">
        <v>3.5106383000000001</v>
      </c>
      <c r="AE1174" s="22" t="s">
        <v>106</v>
      </c>
      <c r="AF1174" s="22"/>
    </row>
    <row r="1175" spans="1:32" x14ac:dyDescent="0.2">
      <c r="A1175" s="1">
        <v>1357</v>
      </c>
      <c r="D1175" s="1" t="s">
        <v>4</v>
      </c>
      <c r="E1175" s="1" t="s">
        <v>25</v>
      </c>
      <c r="F1175" s="34">
        <v>0.5</v>
      </c>
      <c r="G1175" s="15">
        <v>0</v>
      </c>
      <c r="H1175" s="34">
        <v>0.8</v>
      </c>
      <c r="I1175" s="15">
        <f t="shared" si="80"/>
        <v>0.5</v>
      </c>
      <c r="O1175" s="18">
        <v>21</v>
      </c>
      <c r="Q1175" s="66" t="s">
        <v>33</v>
      </c>
      <c r="R1175" s="20" t="str">
        <f t="shared" si="79"/>
        <v>inclined</v>
      </c>
      <c r="S1175" s="19">
        <v>0</v>
      </c>
      <c r="T1175" s="19">
        <v>0</v>
      </c>
      <c r="U1175" s="19">
        <v>0</v>
      </c>
      <c r="V1175" s="20">
        <v>-0.49752746455361302</v>
      </c>
      <c r="W1175" s="20">
        <v>-0.86744822440008107</v>
      </c>
      <c r="Z1175" s="15">
        <v>101</v>
      </c>
      <c r="AD1175" s="1">
        <v>3.7427466199999997</v>
      </c>
      <c r="AE1175" s="22" t="s">
        <v>106</v>
      </c>
      <c r="AF1175" s="22"/>
    </row>
    <row r="1176" spans="1:32" x14ac:dyDescent="0.2">
      <c r="A1176" s="1">
        <v>1358</v>
      </c>
      <c r="D1176" s="1" t="s">
        <v>4</v>
      </c>
      <c r="E1176" s="1" t="s">
        <v>25</v>
      </c>
      <c r="F1176" s="34">
        <v>0.5</v>
      </c>
      <c r="G1176" s="15">
        <v>0</v>
      </c>
      <c r="H1176" s="34">
        <v>0.8</v>
      </c>
      <c r="I1176" s="15">
        <f t="shared" si="80"/>
        <v>0.5</v>
      </c>
      <c r="O1176" s="18">
        <v>21</v>
      </c>
      <c r="Q1176" s="1" t="s">
        <v>33</v>
      </c>
      <c r="R1176" s="20" t="str">
        <f t="shared" si="79"/>
        <v>inclined</v>
      </c>
      <c r="S1176" s="19">
        <v>0</v>
      </c>
      <c r="T1176" s="19">
        <v>0</v>
      </c>
      <c r="U1176" s="19">
        <v>0</v>
      </c>
      <c r="V1176" s="20">
        <v>-0.7077483129240062</v>
      </c>
      <c r="W1176" s="20">
        <v>-0.70646466688237364</v>
      </c>
      <c r="Z1176" s="15">
        <v>101</v>
      </c>
      <c r="AD1176" s="1">
        <v>4.2069632499999994</v>
      </c>
      <c r="AE1176" s="22" t="s">
        <v>106</v>
      </c>
      <c r="AF1176" s="22"/>
    </row>
    <row r="1177" spans="1:32" s="5" customFormat="1" ht="16" thickBot="1" x14ac:dyDescent="0.25">
      <c r="A1177" s="1">
        <v>1359</v>
      </c>
      <c r="B1177" s="24"/>
      <c r="D1177" s="5" t="s">
        <v>4</v>
      </c>
      <c r="E1177" s="5" t="s">
        <v>25</v>
      </c>
      <c r="F1177" s="25">
        <v>0.5</v>
      </c>
      <c r="G1177" s="25">
        <v>0</v>
      </c>
      <c r="H1177" s="25">
        <v>0.8</v>
      </c>
      <c r="I1177" s="25">
        <f t="shared" si="80"/>
        <v>0.5</v>
      </c>
      <c r="J1177" s="26"/>
      <c r="K1177" s="26"/>
      <c r="L1177" s="26"/>
      <c r="M1177" s="27"/>
      <c r="N1177" s="28"/>
      <c r="O1177" s="28">
        <v>21</v>
      </c>
      <c r="P1177" s="29"/>
      <c r="Q1177" s="5" t="s">
        <v>33</v>
      </c>
      <c r="R1177" s="20" t="str">
        <f t="shared" si="79"/>
        <v>inclined</v>
      </c>
      <c r="S1177" s="30">
        <v>0</v>
      </c>
      <c r="T1177" s="30">
        <v>0</v>
      </c>
      <c r="U1177" s="30">
        <v>0</v>
      </c>
      <c r="V1177" s="31">
        <v>-0.86420434992322481</v>
      </c>
      <c r="W1177" s="31">
        <v>-0.50314097584452055</v>
      </c>
      <c r="Y1177" s="28"/>
      <c r="Z1177" s="25">
        <v>101</v>
      </c>
      <c r="AA1177" s="26"/>
      <c r="AB1177" s="26"/>
      <c r="AC1177" s="26"/>
      <c r="AD1177" s="5">
        <v>5.3675048400000005</v>
      </c>
      <c r="AE1177" s="33" t="s">
        <v>106</v>
      </c>
      <c r="AF1177" s="22"/>
    </row>
    <row r="1178" spans="1:32" s="3" customFormat="1" x14ac:dyDescent="0.2">
      <c r="B1178" s="47"/>
      <c r="F1178" s="34"/>
      <c r="G1178" s="34"/>
      <c r="H1178" s="34"/>
      <c r="I1178" s="34"/>
      <c r="J1178" s="48"/>
      <c r="K1178" s="48"/>
      <c r="L1178" s="48"/>
      <c r="M1178" s="49"/>
      <c r="N1178" s="50"/>
      <c r="O1178" s="50"/>
      <c r="P1178" s="51"/>
      <c r="R1178" s="36"/>
      <c r="S1178" s="35"/>
      <c r="T1178" s="35"/>
      <c r="U1178" s="35"/>
      <c r="V1178" s="36"/>
      <c r="W1178" s="36"/>
      <c r="Y1178" s="50"/>
      <c r="Z1178" s="34"/>
      <c r="AA1178" s="48"/>
      <c r="AB1178" s="48"/>
      <c r="AC1178" s="48"/>
      <c r="AE1178" s="37"/>
    </row>
  </sheetData>
  <phoneticPr fontId="2" type="noConversion"/>
  <conditionalFormatting sqref="F1:F1048576">
    <cfRule type="colorScale" priority="48">
      <colorScale>
        <cfvo type="min"/>
        <cfvo type="max"/>
        <color rgb="FFFCFCFF"/>
        <color rgb="FF63BE7B"/>
      </colorScale>
    </cfRule>
  </conditionalFormatting>
  <conditionalFormatting sqref="G130:G131">
    <cfRule type="colorScale" priority="565">
      <colorScale>
        <cfvo type="min"/>
        <cfvo type="max"/>
        <color rgb="FFFCFCFF"/>
        <color rgb="FFF8696B"/>
      </colorScale>
    </cfRule>
  </conditionalFormatting>
  <conditionalFormatting sqref="G132:G1048576 G1:G129">
    <cfRule type="colorScale" priority="68">
      <colorScale>
        <cfvo type="min"/>
        <cfvo type="max"/>
        <color rgb="FFFCFCFF"/>
        <color rgb="FFF8696B"/>
      </colorScale>
    </cfRule>
  </conditionalFormatting>
  <conditionalFormatting sqref="H1:H1048576">
    <cfRule type="colorScale" priority="66">
      <colorScale>
        <cfvo type="num" val="0"/>
        <cfvo type="max"/>
        <color rgb="FFFCFCFF"/>
        <color rgb="FF63BE7B"/>
      </colorScale>
    </cfRule>
  </conditionalFormatting>
  <conditionalFormatting sqref="I1:I1048576">
    <cfRule type="colorScale" priority="59">
      <colorScale>
        <cfvo type="min"/>
        <cfvo type="max"/>
        <color rgb="FFFCFCFF"/>
        <color rgb="FFF8696B"/>
      </colorScale>
    </cfRule>
  </conditionalFormatting>
  <conditionalFormatting sqref="M121:M145">
    <cfRule type="uniqueValues" dxfId="8" priority="850"/>
  </conditionalFormatting>
  <conditionalFormatting sqref="O1:O1048576">
    <cfRule type="colorScale" priority="41">
      <colorScale>
        <cfvo type="min"/>
        <cfvo type="max"/>
        <color rgb="FFDEC8EE"/>
        <color rgb="FF9F9FFF"/>
      </colorScale>
    </cfRule>
  </conditionalFormatting>
  <conditionalFormatting sqref="S1178:W1048576 P1176:Q1048576 P1:Q748 P797:Q797 P749:P796 P816:Q837 P798:P815 P838:P902 P1104:Q1105 P903:Q961 P976:Q976 P962:P975 P977:P1103 P1106:P1175 S1:T1177 V1:W1177 R1:R1048576">
    <cfRule type="colorScale" priority="8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:AC1048576">
    <cfRule type="cellIs" dxfId="0" priority="1" operator="lessThan">
      <formula>0</formula>
    </cfRule>
  </conditionalFormatting>
  <pageMargins left="0.25" right="0.25" top="0.25" bottom="0.25" header="0" footer="0"/>
  <pageSetup scale="2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80" operator="containsText" id="{C90DECC6-7A3B-4744-BA1D-0964437A02B9}">
            <xm:f>NOT(ISERROR(SEARCH(#REF!,C1)))</xm:f>
            <xm:f>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81" operator="containsText" id="{36C5584C-B16F-4306-B84F-FD45B151B043}">
            <xm:f>NOT(ISERROR(SEARCH(#REF!,C1)))</xm:f>
            <xm:f>#REF!</xm:f>
            <x14:dxf>
              <fill>
                <patternFill>
                  <bgColor theme="9" tint="0.39994506668294322"/>
                </patternFill>
              </fill>
            </x14:dxf>
          </x14:cfRule>
          <xm:sqref>C1:C1048576</xm:sqref>
        </x14:conditionalFormatting>
        <x14:conditionalFormatting xmlns:xm="http://schemas.microsoft.com/office/excel/2006/main">
          <x14:cfRule type="containsText" priority="439" operator="containsText" id="{BA9DE214-B12E-4252-B0ED-453DE2197879}">
            <xm:f>NOT(ISERROR(SEARCH($M$96,M2)))</xm:f>
            <xm:f>$M$96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440" operator="containsText" id="{194177E7-697A-4F4A-A687-5C09619BDCB5}">
            <xm:f>NOT(ISERROR(SEARCH($M$84,M2)))</xm:f>
            <xm:f>$M$84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441" operator="containsText" id="{1FA38F05-5801-4D10-AC94-20273A65DDF9}">
            <xm:f>NOT(ISERROR(SEARCH($M$53,M2)))</xm:f>
            <xm:f>$M$53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442" operator="containsText" id="{F36DE248-F98B-4D7E-A19F-537737417968}">
            <xm:f>NOT(ISERROR(SEARCH(#REF!,M2)))</xm:f>
            <xm:f>#REF!</xm:f>
            <x14:dxf>
              <fill>
                <patternFill>
                  <bgColor theme="5" tint="0.39994506668294322"/>
                </patternFill>
              </fill>
            </x14:dxf>
          </x14:cfRule>
          <xm:sqref>M2:N1048576</xm:sqref>
        </x14:conditionalFormatting>
        <x14:conditionalFormatting xmlns:xm="http://schemas.microsoft.com/office/excel/2006/main">
          <x14:cfRule type="containsText" priority="120" operator="containsText" id="{2A4CB91B-8AE5-4DC4-822A-79169C269487}">
            <xm:f>NOT(ISERROR(SEARCH(#REF!,Q1)))</xm:f>
            <xm:f>#REF!</xm:f>
            <x14:dxf>
              <fill>
                <patternFill>
                  <bgColor theme="8" tint="0.39994506668294322"/>
                </patternFill>
              </fill>
            </x14:dxf>
          </x14:cfRule>
          <x14:cfRule type="containsText" priority="121" operator="containsText" id="{0ED8B619-4AAC-4C38-9BBE-440353A52FDF}">
            <xm:f>NOT(ISERROR(SEARCH(#REF!,Q1)))</xm:f>
            <xm:f>#REF!</xm:f>
            <x14:dxf>
              <fill>
                <patternFill>
                  <bgColor theme="9" tint="0.39994506668294322"/>
                </patternFill>
              </fill>
            </x14:dxf>
          </x14:cfRule>
          <x14:cfRule type="containsText" priority="122" operator="containsText" id="{81CF99AD-5DA8-4C30-911D-46A8DBDA9ACD}">
            <xm:f>NOT(ISERROR(SEARCH(#REF!,Q1)))</xm:f>
            <xm:f>#REF!</xm:f>
            <x14:dxf>
              <fill>
                <patternFill>
                  <bgColor rgb="FFFF7C80"/>
                </patternFill>
              </fill>
            </x14:dxf>
          </x14:cfRule>
          <xm:sqref>Q1:R748 Q797:R797 Q816:R837 Q903:R961 Q976:R976 Q1104:R1105 Q1176:R1048576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FLARE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 Urban</dc:creator>
  <cp:lastModifiedBy>Jose Rivera</cp:lastModifiedBy>
  <cp:lastPrinted>2019-09-18T19:43:40Z</cp:lastPrinted>
  <dcterms:created xsi:type="dcterms:W3CDTF">2019-01-10T21:30:31Z</dcterms:created>
  <dcterms:modified xsi:type="dcterms:W3CDTF">2026-07-08T04:47:40Z</dcterms:modified>
</cp:coreProperties>
</file>